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9c4b0ce4d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总览" sheetId="1" r:id="R2951ca70760b4877"/>
    <x:sheet xmlns:r="http://schemas.openxmlformats.org/officeDocument/2006/relationships" name="投注明细" sheetId="2" r:id="R0c8cd01b61e04321"/>
    <x:sheet xmlns:r="http://schemas.openxmlformats.org/officeDocument/2006/relationships" name="字段说明" sheetId="3" r:id="R744f4844559244cb"/>
    <x:sheet xmlns:r="http://schemas.openxmlformats.org/officeDocument/2006/relationships" name="参数" sheetId="4" r:id="Rfb1325270720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¥&quot;#,##0.00;[Red]-&quot;¥&quot;#,##0.00;&quot;¥&quot;0.00"/>
    <x:numFmt numFmtId="201" formatCode="0"/>
    <x:numFmt numFmtId="202" formatCode="0.000"/>
    <x:numFmt numFmtId="203" formatCode="0.00%;[Red]-0.00%;0.00%"/>
    <x:numFmt numFmtId="204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3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7E6"/>
        </x:patternFill>
      </x:fill>
    </x:dxf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cf6516f79421e" /><Relationship Type="http://schemas.openxmlformats.org/officeDocument/2006/relationships/theme" Target="/xl/theme/theme1.xml" Id="R003f315412234199" /><Relationship Type="http://schemas.openxmlformats.org/officeDocument/2006/relationships/sharedStrings" Target="/xl/sharedStrings.xml" Id="R40e14886423f450f" /><Relationship Type="http://schemas.openxmlformats.org/officeDocument/2006/relationships/worksheet" Target="/xl/worksheets/sheet1.xml" Id="R2951ca70760b4877" /><Relationship Type="http://schemas.openxmlformats.org/officeDocument/2006/relationships/worksheet" Target="/xl/worksheets/sheet2.xml" Id="R0c8cd01b61e04321" /><Relationship Type="http://schemas.openxmlformats.org/officeDocument/2006/relationships/worksheet" Target="/xl/worksheets/sheet3.xml" Id="R744f4844559244cb" /><Relationship Type="http://schemas.openxmlformats.org/officeDocument/2006/relationships/worksheet" Target="/xl/worksheets/sheet4.xml" Id="Rfb1325270720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.670000076293945" hidden="0" customWidth="1"/>
    <x:col min="3" max="3" width="11.109999656677246" hidden="0" customWidth="1"/>
    <x:col min="4" max="4" width="20" hidden="0" customWidth="1"/>
    <x:col min="5" max="5" width="11.109999656677246" hidden="0" customWidth="1"/>
    <x:col min="6" max="6" width="8.329999923706055" hidden="0" customWidth="1"/>
    <x:col min="7" max="7" width="8.329999923706055" hidden="0" customWidth="1"/>
    <x:col min="8" max="8" width="10.5600004196167" hidden="0" customWidth="1"/>
    <x:col min="10" max="10" width="11.109999656677246" hidden="0" customWidth="1"/>
    <x:col min="11" max="11" width="8.890000343322754" hidden="0" customWidth="1"/>
    <x:col min="12" max="12" width="11.109999656677246" hidden="0" customWidth="1"/>
    <x:col min="13" max="13" width="11.109999656677246" hidden="0" customWidth="1"/>
    <x:col min="14" max="14" width="9.109999656677246" hidden="0" customWidth="1"/>
  </x:cols>
  <x:sheetData>
    <x:row r="1" ht="31.5" customHeight="1">
      <x:c r="A1" s="3" t="str">
        <x:v>世界杯足球策略复盘总览</x:v>
      </x:c>
      <x:c r="B1" s="3" t="str">
        <x:v>世界杯足球策略复盘总览</x:v>
      </x:c>
      <x:c r="C1" s="3" t="str">
        <x:v>世界杯足球策略复盘总览</x:v>
      </x:c>
      <x:c r="D1" s="3" t="str">
        <x:v>世界杯足球策略复盘总览</x:v>
      </x:c>
      <x:c r="E1" s="3" t="str">
        <x:v>世界杯足球策略复盘总览</x:v>
      </x:c>
      <x:c r="F1" s="3" t="str">
        <x:v>世界杯足球策略复盘总览</x:v>
      </x:c>
      <x:c r="G1" s="3" t="str">
        <x:v>世界杯足球策略复盘总览</x:v>
      </x:c>
      <x:c r="H1" s="3" t="str">
        <x:v>世界杯足球策略复盘总览</x:v>
      </x:c>
      <x:c r="I1" s="3" t="str">
        <x:v>世界杯足球策略复盘总览</x:v>
      </x:c>
      <x:c r="J1" s="3" t="str">
        <x:v>世界杯足球策略复盘总览</x:v>
      </x:c>
      <x:c r="K1" s="3" t="str">
        <x:v>世界杯足球策略复盘总览</x:v>
      </x:c>
      <x:c r="L1" s="3" t="str">
        <x:v>世界杯足球策略复盘总览</x:v>
      </x:c>
      <x:c r="M1" s="3" t="str">
        <x:v>世界杯足球策略复盘总览</x:v>
      </x:c>
      <x:c r="N1" s="3" t="str">
        <x:v>世界杯足球策略复盘总览</x:v>
      </x:c>
    </x:row>
    <x:row r="3">
      <x:c r="A3" s="6" t="str">
        <x:v>起始本金</x:v>
      </x:c>
      <x:c r="B3" s="25" t="n">
        <x:f>'参数'!B3</x:f>
        <x:v>1000</x:v>
      </x:c>
      <x:c r="D3" s="9" t="str">
        <x:v>按场次分类统计</x:v>
      </x:c>
      <x:c r="E3" s="9" t="str"/>
      <x:c r="F3" s="9" t="str"/>
      <x:c r="G3" s="9" t="str"/>
      <x:c r="H3" s="9" t="str"/>
      <x:c r="J3" s="9" t="str">
        <x:v>按投注类型统计</x:v>
      </x:c>
      <x:c r="K3" s="9" t="str"/>
      <x:c r="L3" s="9" t="str"/>
      <x:c r="M3" s="9" t="str"/>
      <x:c r="N3" s="9" t="str"/>
    </x:row>
    <x:row r="4" ht="25.5" customHeight="1">
      <x:c r="A4" s="6" t="str">
        <x:v>当前本金</x:v>
      </x:c>
      <x:c r="B4" s="25" t="n">
        <x:f>'参数'!B3+SUM('投注明细'!R3:R202)</x:f>
        <x:v>1000</x:v>
      </x:c>
      <x:c r="D4" s="13" t="str">
        <x:v>场次分类</x:v>
      </x:c>
      <x:c r="E4" s="13" t="str">
        <x:v>笔数</x:v>
      </x:c>
      <x:c r="F4" s="13" t="str">
        <x:v>投注金额</x:v>
      </x:c>
      <x:c r="G4" s="13" t="str">
        <x:v>净收益</x:v>
      </x:c>
      <x:c r="H4" s="13" t="str">
        <x:v>ROI</x:v>
      </x:c>
      <x:c r="J4" s="13" t="str">
        <x:v>投注类型</x:v>
      </x:c>
      <x:c r="K4" s="13" t="str">
        <x:v>笔数</x:v>
      </x:c>
      <x:c r="L4" s="13" t="str">
        <x:v>投注金额</x:v>
      </x:c>
      <x:c r="M4" s="13" t="str">
        <x:v>净收益</x:v>
      </x:c>
      <x:c r="N4" s="13" t="str">
        <x:v>ROI</x:v>
      </x:c>
    </x:row>
    <x:row r="5">
      <x:c r="A5" s="6" t="str">
        <x:v>总投注金额</x:v>
      </x:c>
      <x:c r="B5" s="25" t="n">
        <x:f>SUM('投注明细'!L3:L202)</x:f>
        <x:v>0</x:v>
      </x:c>
      <x:c r="D5" s="15" t="str">
        <x:v>小组赛</x:v>
      </x:c>
      <x:c r="E5" s="15" t="n">
        <x:f>COUNTIF('投注明细'!E:E,D5)</x:f>
        <x:v>0</x:v>
      </x:c>
      <x:c r="F5" s="25" t="n">
        <x:f>SUMIF('投注明细'!E:E,D5,'投注明细'!L:L)</x:f>
        <x:v>0</x:v>
      </x:c>
      <x:c r="G5" s="25" t="n">
        <x:f>SUMIF('投注明细'!E:E,D5,'投注明细'!R:R)</x:f>
        <x:v>0</x:v>
      </x:c>
      <x:c r="H5" s="27" t="str">
        <x:f>IF(F5=0,"",G5/F5)</x:f>
      </x:c>
      <x:c r="J5" s="15" t="str">
        <x:v>赛前</x:v>
      </x:c>
      <x:c r="K5" s="15" t="n">
        <x:f>COUNTIF('投注明细'!H:H,J5)</x:f>
        <x:v>0</x:v>
      </x:c>
      <x:c r="L5" s="25" t="n">
        <x:f>SUMIF('投注明细'!H:H,J5,'投注明细'!L:L)</x:f>
        <x:v>0</x:v>
      </x:c>
      <x:c r="M5" s="25" t="n">
        <x:f>SUMIF('投注明细'!H:H,J5,'投注明细'!R:R)</x:f>
        <x:v>0</x:v>
      </x:c>
      <x:c r="N5" s="27" t="str">
        <x:f>IF(L5=0,"",M5/L5)</x:f>
      </x:c>
    </x:row>
    <x:row r="6">
      <x:c r="A6" s="6" t="str">
        <x:v>已结算笔数</x:v>
      </x:c>
      <x:c r="B6" s="26" t="n">
        <x:f>COUNTIF('投注明细'!P3:P202,"&lt;&gt;未结算")-COUNTBLANK('投注明细'!P3:P202)</x:f>
        <x:v>0</x:v>
      </x:c>
      <x:c r="D6" s="15" t="str">
        <x:v>1/8决赛</x:v>
      </x:c>
      <x:c r="E6" s="15" t="n">
        <x:f>COUNTIF('投注明细'!E:E,D6)</x:f>
        <x:v>0</x:v>
      </x:c>
      <x:c r="F6" s="25" t="n">
        <x:f>SUMIF('投注明细'!E:E,D6,'投注明细'!L:L)</x:f>
        <x:v>0</x:v>
      </x:c>
      <x:c r="G6" s="25" t="n">
        <x:f>SUMIF('投注明细'!E:E,D6,'投注明细'!R:R)</x:f>
        <x:v>0</x:v>
      </x:c>
      <x:c r="H6" s="27" t="str">
        <x:f>IF(F6=0,"",G6/F6)</x:f>
      </x:c>
      <x:c r="J6" s="15" t="str">
        <x:v>滚球</x:v>
      </x:c>
      <x:c r="K6" s="15" t="n">
        <x:f>COUNTIF('投注明细'!H:H,J6)</x:f>
        <x:v>0</x:v>
      </x:c>
      <x:c r="L6" s="25" t="n">
        <x:f>SUMIF('投注明细'!H:H,J6,'投注明细'!L:L)</x:f>
        <x:v>0</x:v>
      </x:c>
      <x:c r="M6" s="25" t="n">
        <x:f>SUMIF('投注明细'!H:H,J6,'投注明细'!R:R)</x:f>
        <x:v>0</x:v>
      </x:c>
      <x:c r="N6" s="27" t="str">
        <x:f>IF(L6=0,"",M6/L6)</x:f>
      </x:c>
    </x:row>
    <x:row r="7">
      <x:c r="A7" s="6" t="str">
        <x:v>胜率</x:v>
      </x:c>
      <x:c r="B7" s="27" t="str">
        <x:f>IF(B6=0,"",COUNTIF('投注明细'!P3:P202,"赢")/B6)</x:f>
      </x:c>
      <x:c r="D7" s="15" t="str">
        <x:v>1/4决赛</x:v>
      </x:c>
      <x:c r="E7" s="15" t="n">
        <x:f>COUNTIF('投注明细'!E:E,D7)</x:f>
        <x:v>0</x:v>
      </x:c>
      <x:c r="F7" s="25" t="n">
        <x:f>SUMIF('投注明细'!E:E,D7,'投注明细'!L:L)</x:f>
        <x:v>0</x:v>
      </x:c>
      <x:c r="G7" s="25" t="n">
        <x:f>SUMIF('投注明细'!E:E,D7,'投注明细'!R:R)</x:f>
        <x:v>0</x:v>
      </x:c>
      <x:c r="H7" s="27" t="str">
        <x:f>IF(F7=0,"",G7/F7)</x:f>
      </x:c>
      <x:c r="J7" s="15" t="str">
        <x:v>串关</x:v>
      </x:c>
      <x:c r="K7" s="15" t="n">
        <x:f>COUNTIF('投注明细'!H:H,J7)</x:f>
        <x:v>0</x:v>
      </x:c>
      <x:c r="L7" s="25" t="n">
        <x:f>SUMIF('投注明细'!H:H,J7,'投注明细'!L:L)</x:f>
        <x:v>0</x:v>
      </x:c>
      <x:c r="M7" s="25" t="n">
        <x:f>SUMIF('投注明细'!H:H,J7,'投注明细'!R:R)</x:f>
        <x:v>0</x:v>
      </x:c>
      <x:c r="N7" s="27" t="str">
        <x:f>IF(L7=0,"",M7/L7)</x:f>
      </x:c>
    </x:row>
    <x:row r="8">
      <x:c r="A8" s="6" t="str">
        <x:v>净收益</x:v>
      </x:c>
      <x:c r="B8" s="25" t="n">
        <x:f>SUM('投注明细'!R3:R202)</x:f>
        <x:v>0</x:v>
      </x:c>
      <x:c r="D8" s="15" t="str">
        <x:v>半决赛</x:v>
      </x:c>
      <x:c r="E8" s="15" t="n">
        <x:f>COUNTIF('投注明细'!E:E,D8)</x:f>
        <x:v>0</x:v>
      </x:c>
      <x:c r="F8" s="25" t="n">
        <x:f>SUMIF('投注明细'!E:E,D8,'投注明细'!L:L)</x:f>
        <x:v>0</x:v>
      </x:c>
      <x:c r="G8" s="25" t="n">
        <x:f>SUMIF('投注明细'!E:E,D8,'投注明细'!R:R)</x:f>
        <x:v>0</x:v>
      </x:c>
      <x:c r="H8" s="27" t="str">
        <x:f>IF(F8=0,"",G8/F8)</x:f>
      </x:c>
    </x:row>
    <x:row r="9">
      <x:c r="A9" s="6" t="str">
        <x:v>总 ROI</x:v>
      </x:c>
      <x:c r="B9" s="27" t="str">
        <x:f>IF(B5=0,"",B8/B5)</x:f>
      </x:c>
      <x:c r="D9" s="15" t="str">
        <x:v>季军赛</x:v>
      </x:c>
      <x:c r="E9" s="15" t="n">
        <x:f>COUNTIF('投注明细'!E:E,D9)</x:f>
        <x:v>0</x:v>
      </x:c>
      <x:c r="F9" s="25" t="n">
        <x:f>SUMIF('投注明细'!E:E,D9,'投注明细'!L:L)</x:f>
        <x:v>0</x:v>
      </x:c>
      <x:c r="G9" s="25" t="n">
        <x:f>SUMIF('投注明细'!E:E,D9,'投注明细'!R:R)</x:f>
        <x:v>0</x:v>
      </x:c>
      <x:c r="H9" s="27" t="str">
        <x:f>IF(F9=0,"",G9/F9)</x:f>
      </x:c>
    </x:row>
    <x:row r="10">
      <x:c r="A10" s="6" t="str">
        <x:v>最大单笔亏损</x:v>
      </x:c>
      <x:c r="B10" s="25" t="n">
        <x:f>IFERROR(MIN('投注明细'!R3:R202),"")</x:f>
        <x:v>0</x:v>
      </x:c>
      <x:c r="D10" s="15" t="str">
        <x:v>决赛</x:v>
      </x:c>
      <x:c r="E10" s="15" t="n">
        <x:f>COUNTIF('投注明细'!E:E,D10)</x:f>
        <x:v>0</x:v>
      </x:c>
      <x:c r="F10" s="25" t="n">
        <x:f>SUMIF('投注明细'!E:E,D10,'投注明细'!L:L)</x:f>
        <x:v>0</x:v>
      </x:c>
      <x:c r="G10" s="25" t="n">
        <x:f>SUMIF('投注明细'!E:E,D10,'投注明细'!R:R)</x:f>
        <x:v>0</x:v>
      </x:c>
      <x:c r="H10" s="27" t="str">
        <x:f>IF(F10=0,"",G10/F10)</x:f>
      </x:c>
    </x:row>
    <x:row r="11">
      <x:c r="A11" s="6" t="str">
        <x:v>最大单笔盈利</x:v>
      </x:c>
      <x:c r="B11" s="25" t="n">
        <x:f>IFERROR(MAX('投注明细'!R3:R202),"")</x:f>
        <x:v>0</x:v>
      </x:c>
      <x:c r="D11" s="15" t="str">
        <x:v>其他</x:v>
      </x:c>
      <x:c r="E11" s="15" t="n">
        <x:f>COUNTIF('投注明细'!E:E,D11)</x:f>
        <x:v>0</x:v>
      </x:c>
      <x:c r="F11" s="25" t="n">
        <x:f>SUMIF('投注明细'!E:E,D11,'投注明细'!L:L)</x:f>
        <x:v>0</x:v>
      </x:c>
      <x:c r="G11" s="25" t="n">
        <x:f>SUMIF('投注明细'!E:E,D11,'投注明细'!R:R)</x:f>
        <x:v>0</x:v>
      </x:c>
      <x:c r="H11" s="27" t="str">
        <x:f>IF(F11=0,"",G11/F11)</x:f>
      </x:c>
    </x:row>
    <x:row r="14">
      <x:c r="A14" s="9" t="str">
        <x:v>近十笔结算记录</x:v>
      </x:c>
      <x:c r="B14" s="9" t="str"/>
      <x:c r="C14" s="9" t="str"/>
      <x:c r="D14" s="9" t="str"/>
      <x:c r="E14" s="9" t="str"/>
      <x:c r="F14" s="9" t="str"/>
      <x:c r="G14" s="9" t="str"/>
      <x:c r="H14" s="9" t="str"/>
    </x:row>
    <x:row r="15" ht="25.5" customHeight="1">
      <x:c r="A15" s="13" t="str">
        <x:v>id</x:v>
      </x:c>
      <x:c r="B15" s="13" t="str">
        <x:v>投注场次</x:v>
      </x:c>
      <x:c r="C15" s="13" t="str">
        <x:v>投注类型</x:v>
      </x:c>
      <x:c r="D15" s="13" t="str">
        <x:v>投注内容</x:v>
      </x:c>
      <x:c r="E15" s="13" t="str">
        <x:v>投注金额</x:v>
      </x:c>
      <x:c r="F15" s="13" t="str">
        <x:v>赔率</x:v>
      </x:c>
      <x:c r="G15" s="13" t="str">
        <x:v>结果</x:v>
      </x:c>
      <x:c r="H15" s="13" t="str">
        <x:v>收益</x:v>
      </x:c>
    </x:row>
    <x:row r="16">
      <x:c r="A16" s="15" t="str">
        <x:f>IFERROR(INDEX(FILTER('投注明细'!A3:A202,'投注明细'!P3:P202&lt;&gt;"未结算",'投注明细'!P3:P202&lt;&gt;""),ROWS($A$16:A16)),"")</x:f>
      </x:c>
      <x:c r="B16" s="15" t="str">
        <x:f>IFERROR(INDEX(FILTER('投注明细'!C3:C202,'投注明细'!P3:P202&lt;&gt;"未结算",'投注明细'!P3:P202&lt;&gt;""),ROWS($A$16:A16)),"")</x:f>
      </x:c>
      <x:c r="C16" s="15" t="str">
        <x:f>IFERROR(INDEX(FILTER('投注明细'!H3:H202,'投注明细'!P3:P202&lt;&gt;"未结算",'投注明细'!P3:P202&lt;&gt;""),ROWS($A$16:A16)),"")</x:f>
      </x:c>
      <x:c r="D16" s="15" t="str">
        <x:f>IFERROR(INDEX(FILTER('投注明细'!I3:I202,'投注明细'!P3:P202&lt;&gt;"未结算",'投注明细'!P3:P202&lt;&gt;""),ROWS($A$16:A16)),"")</x:f>
      </x:c>
      <x:c r="E16" s="25" t="str">
        <x:f>IFERROR(INDEX(FILTER('投注明细'!L3:L202,'投注明细'!P3:P202&lt;&gt;"未结算",'投注明细'!P3:P202&lt;&gt;""),ROWS($A$16:A16)),"")</x:f>
      </x:c>
      <x:c r="F16" s="28" t="str">
        <x:f>IFERROR(INDEX(FILTER('投注明细'!M3:M202,'投注明细'!P3:P202&lt;&gt;"未结算",'投注明细'!P3:P202&lt;&gt;""),ROWS($A$16:A16)),"")</x:f>
      </x:c>
      <x:c r="G16" s="15" t="str">
        <x:f>IFERROR(INDEX(FILTER('投注明细'!P3:P202,'投注明细'!P3:P202&lt;&gt;"未结算",'投注明细'!P3:P202&lt;&gt;""),ROWS($A$16:A16)),"")</x:f>
      </x:c>
      <x:c r="H16" s="25" t="str">
        <x:f>IFERROR(INDEX(FILTER('投注明细'!R3:R202,'投注明细'!P3:P202&lt;&gt;"未结算",'投注明细'!P3:P202&lt;&gt;""),ROWS($A$16:A16)),"")</x:f>
      </x:c>
    </x:row>
    <x:row r="17">
      <x:c r="A17" s="15" t="str">
        <x:f>IFERROR(INDEX(FILTER('投注明细'!A3:A202,'投注明细'!P3:P202&lt;&gt;"未结算",'投注明细'!P3:P202&lt;&gt;""),ROWS($A$16:A17)),"")</x:f>
      </x:c>
      <x:c r="B17" s="15" t="str">
        <x:f>IFERROR(INDEX(FILTER('投注明细'!C3:C202,'投注明细'!P3:P202&lt;&gt;"未结算",'投注明细'!P3:P202&lt;&gt;""),ROWS($A$16:A17)),"")</x:f>
      </x:c>
      <x:c r="C17" s="15" t="str">
        <x:f>IFERROR(INDEX(FILTER('投注明细'!H3:H202,'投注明细'!P3:P202&lt;&gt;"未结算",'投注明细'!P3:P202&lt;&gt;""),ROWS($A$16:A17)),"")</x:f>
      </x:c>
      <x:c r="D17" s="15" t="str">
        <x:f>IFERROR(INDEX(FILTER('投注明细'!I3:I202,'投注明细'!P3:P202&lt;&gt;"未结算",'投注明细'!P3:P202&lt;&gt;""),ROWS($A$16:A17)),"")</x:f>
      </x:c>
      <x:c r="E17" s="25" t="str">
        <x:f>IFERROR(INDEX(FILTER('投注明细'!L3:L202,'投注明细'!P3:P202&lt;&gt;"未结算",'投注明细'!P3:P202&lt;&gt;""),ROWS($A$16:A17)),"")</x:f>
      </x:c>
      <x:c r="F17" s="28" t="str">
        <x:f>IFERROR(INDEX(FILTER('投注明细'!M3:M202,'投注明细'!P3:P202&lt;&gt;"未结算",'投注明细'!P3:P202&lt;&gt;""),ROWS($A$16:A17)),"")</x:f>
      </x:c>
      <x:c r="G17" s="15" t="str">
        <x:f>IFERROR(INDEX(FILTER('投注明细'!P3:P202,'投注明细'!P3:P202&lt;&gt;"未结算",'投注明细'!P3:P202&lt;&gt;""),ROWS($A$16:A17)),"")</x:f>
      </x:c>
      <x:c r="H17" s="25" t="str">
        <x:f>IFERROR(INDEX(FILTER('投注明细'!R3:R202,'投注明细'!P3:P202&lt;&gt;"未结算",'投注明细'!P3:P202&lt;&gt;""),ROWS($A$16:A17)),"")</x:f>
      </x:c>
    </x:row>
    <x:row r="18">
      <x:c r="A18" s="15" t="str">
        <x:f>IFERROR(INDEX(FILTER('投注明细'!A3:A202,'投注明细'!P3:P202&lt;&gt;"未结算",'投注明细'!P3:P202&lt;&gt;""),ROWS($A$16:A18)),"")</x:f>
      </x:c>
      <x:c r="B18" s="15" t="str">
        <x:f>IFERROR(INDEX(FILTER('投注明细'!C3:C202,'投注明细'!P3:P202&lt;&gt;"未结算",'投注明细'!P3:P202&lt;&gt;""),ROWS($A$16:A18)),"")</x:f>
      </x:c>
      <x:c r="C18" s="15" t="str">
        <x:f>IFERROR(INDEX(FILTER('投注明细'!H3:H202,'投注明细'!P3:P202&lt;&gt;"未结算",'投注明细'!P3:P202&lt;&gt;""),ROWS($A$16:A18)),"")</x:f>
      </x:c>
      <x:c r="D18" s="15" t="str">
        <x:f>IFERROR(INDEX(FILTER('投注明细'!I3:I202,'投注明细'!P3:P202&lt;&gt;"未结算",'投注明细'!P3:P202&lt;&gt;""),ROWS($A$16:A18)),"")</x:f>
      </x:c>
      <x:c r="E18" s="25" t="str">
        <x:f>IFERROR(INDEX(FILTER('投注明细'!L3:L202,'投注明细'!P3:P202&lt;&gt;"未结算",'投注明细'!P3:P202&lt;&gt;""),ROWS($A$16:A18)),"")</x:f>
      </x:c>
      <x:c r="F18" s="28" t="str">
        <x:f>IFERROR(INDEX(FILTER('投注明细'!M3:M202,'投注明细'!P3:P202&lt;&gt;"未结算",'投注明细'!P3:P202&lt;&gt;""),ROWS($A$16:A18)),"")</x:f>
      </x:c>
      <x:c r="G18" s="15" t="str">
        <x:f>IFERROR(INDEX(FILTER('投注明细'!P3:P202,'投注明细'!P3:P202&lt;&gt;"未结算",'投注明细'!P3:P202&lt;&gt;""),ROWS($A$16:A18)),"")</x:f>
      </x:c>
      <x:c r="H18" s="25" t="str">
        <x:f>IFERROR(INDEX(FILTER('投注明细'!R3:R202,'投注明细'!P3:P202&lt;&gt;"未结算",'投注明细'!P3:P202&lt;&gt;""),ROWS($A$16:A18)),"")</x:f>
      </x:c>
    </x:row>
    <x:row r="19">
      <x:c r="A19" s="15" t="str">
        <x:f>IFERROR(INDEX(FILTER('投注明细'!A3:A202,'投注明细'!P3:P202&lt;&gt;"未结算",'投注明细'!P3:P202&lt;&gt;""),ROWS($A$16:A19)),"")</x:f>
      </x:c>
      <x:c r="B19" s="15" t="str">
        <x:f>IFERROR(INDEX(FILTER('投注明细'!C3:C202,'投注明细'!P3:P202&lt;&gt;"未结算",'投注明细'!P3:P202&lt;&gt;""),ROWS($A$16:A19)),"")</x:f>
      </x:c>
      <x:c r="C19" s="15" t="str">
        <x:f>IFERROR(INDEX(FILTER('投注明细'!H3:H202,'投注明细'!P3:P202&lt;&gt;"未结算",'投注明细'!P3:P202&lt;&gt;""),ROWS($A$16:A19)),"")</x:f>
      </x:c>
      <x:c r="D19" s="15" t="str">
        <x:f>IFERROR(INDEX(FILTER('投注明细'!I3:I202,'投注明细'!P3:P202&lt;&gt;"未结算",'投注明细'!P3:P202&lt;&gt;""),ROWS($A$16:A19)),"")</x:f>
      </x:c>
      <x:c r="E19" s="25" t="str">
        <x:f>IFERROR(INDEX(FILTER('投注明细'!L3:L202,'投注明细'!P3:P202&lt;&gt;"未结算",'投注明细'!P3:P202&lt;&gt;""),ROWS($A$16:A19)),"")</x:f>
      </x:c>
      <x:c r="F19" s="28" t="str">
        <x:f>IFERROR(INDEX(FILTER('投注明细'!M3:M202,'投注明细'!P3:P202&lt;&gt;"未结算",'投注明细'!P3:P202&lt;&gt;""),ROWS($A$16:A19)),"")</x:f>
      </x:c>
      <x:c r="G19" s="15" t="str">
        <x:f>IFERROR(INDEX(FILTER('投注明细'!P3:P202,'投注明细'!P3:P202&lt;&gt;"未结算",'投注明细'!P3:P202&lt;&gt;""),ROWS($A$16:A19)),"")</x:f>
      </x:c>
      <x:c r="H19" s="25" t="str">
        <x:f>IFERROR(INDEX(FILTER('投注明细'!R3:R202,'投注明细'!P3:P202&lt;&gt;"未结算",'投注明细'!P3:P202&lt;&gt;""),ROWS($A$16:A19)),"")</x:f>
      </x:c>
    </x:row>
    <x:row r="20">
      <x:c r="A20" s="15" t="str">
        <x:f>IFERROR(INDEX(FILTER('投注明细'!A3:A202,'投注明细'!P3:P202&lt;&gt;"未结算",'投注明细'!P3:P202&lt;&gt;""),ROWS($A$16:A20)),"")</x:f>
      </x:c>
      <x:c r="B20" s="15" t="str">
        <x:f>IFERROR(INDEX(FILTER('投注明细'!C3:C202,'投注明细'!P3:P202&lt;&gt;"未结算",'投注明细'!P3:P202&lt;&gt;""),ROWS($A$16:A20)),"")</x:f>
      </x:c>
      <x:c r="C20" s="15" t="str">
        <x:f>IFERROR(INDEX(FILTER('投注明细'!H3:H202,'投注明细'!P3:P202&lt;&gt;"未结算",'投注明细'!P3:P202&lt;&gt;""),ROWS($A$16:A20)),"")</x:f>
      </x:c>
      <x:c r="D20" s="15" t="str">
        <x:f>IFERROR(INDEX(FILTER('投注明细'!I3:I202,'投注明细'!P3:P202&lt;&gt;"未结算",'投注明细'!P3:P202&lt;&gt;""),ROWS($A$16:A20)),"")</x:f>
      </x:c>
      <x:c r="E20" s="25" t="str">
        <x:f>IFERROR(INDEX(FILTER('投注明细'!L3:L202,'投注明细'!P3:P202&lt;&gt;"未结算",'投注明细'!P3:P202&lt;&gt;""),ROWS($A$16:A20)),"")</x:f>
      </x:c>
      <x:c r="F20" s="28" t="str">
        <x:f>IFERROR(INDEX(FILTER('投注明细'!M3:M202,'投注明细'!P3:P202&lt;&gt;"未结算",'投注明细'!P3:P202&lt;&gt;""),ROWS($A$16:A20)),"")</x:f>
      </x:c>
      <x:c r="G20" s="15" t="str">
        <x:f>IFERROR(INDEX(FILTER('投注明细'!P3:P202,'投注明细'!P3:P202&lt;&gt;"未结算",'投注明细'!P3:P202&lt;&gt;""),ROWS($A$16:A20)),"")</x:f>
      </x:c>
      <x:c r="H20" s="25" t="str">
        <x:f>IFERROR(INDEX(FILTER('投注明细'!R3:R202,'投注明细'!P3:P202&lt;&gt;"未结算",'投注明细'!P3:P202&lt;&gt;""),ROWS($A$16:A20)),"")</x:f>
      </x:c>
    </x:row>
    <x:row r="21">
      <x:c r="A21" s="15" t="str">
        <x:f>IFERROR(INDEX(FILTER('投注明细'!A3:A202,'投注明细'!P3:P202&lt;&gt;"未结算",'投注明细'!P3:P202&lt;&gt;""),ROWS($A$16:A21)),"")</x:f>
      </x:c>
      <x:c r="B21" s="15" t="str">
        <x:f>IFERROR(INDEX(FILTER('投注明细'!C3:C202,'投注明细'!P3:P202&lt;&gt;"未结算",'投注明细'!P3:P202&lt;&gt;""),ROWS($A$16:A21)),"")</x:f>
      </x:c>
      <x:c r="C21" s="15" t="str">
        <x:f>IFERROR(INDEX(FILTER('投注明细'!H3:H202,'投注明细'!P3:P202&lt;&gt;"未结算",'投注明细'!P3:P202&lt;&gt;""),ROWS($A$16:A21)),"")</x:f>
      </x:c>
      <x:c r="D21" s="15" t="str">
        <x:f>IFERROR(INDEX(FILTER('投注明细'!I3:I202,'投注明细'!P3:P202&lt;&gt;"未结算",'投注明细'!P3:P202&lt;&gt;""),ROWS($A$16:A21)),"")</x:f>
      </x:c>
      <x:c r="E21" s="25" t="str">
        <x:f>IFERROR(INDEX(FILTER('投注明细'!L3:L202,'投注明细'!P3:P202&lt;&gt;"未结算",'投注明细'!P3:P202&lt;&gt;""),ROWS($A$16:A21)),"")</x:f>
      </x:c>
      <x:c r="F21" s="28" t="str">
        <x:f>IFERROR(INDEX(FILTER('投注明细'!M3:M202,'投注明细'!P3:P202&lt;&gt;"未结算",'投注明细'!P3:P202&lt;&gt;""),ROWS($A$16:A21)),"")</x:f>
      </x:c>
      <x:c r="G21" s="15" t="str">
        <x:f>IFERROR(INDEX(FILTER('投注明细'!P3:P202,'投注明细'!P3:P202&lt;&gt;"未结算",'投注明细'!P3:P202&lt;&gt;""),ROWS($A$16:A21)),"")</x:f>
      </x:c>
      <x:c r="H21" s="25" t="str">
        <x:f>IFERROR(INDEX(FILTER('投注明细'!R3:R202,'投注明细'!P3:P202&lt;&gt;"未结算",'投注明细'!P3:P202&lt;&gt;""),ROWS($A$16:A21)),"")</x:f>
      </x:c>
    </x:row>
    <x:row r="22">
      <x:c r="A22" s="15" t="str">
        <x:f>IFERROR(INDEX(FILTER('投注明细'!A3:A202,'投注明细'!P3:P202&lt;&gt;"未结算",'投注明细'!P3:P202&lt;&gt;""),ROWS($A$16:A22)),"")</x:f>
      </x:c>
      <x:c r="B22" s="15" t="str">
        <x:f>IFERROR(INDEX(FILTER('投注明细'!C3:C202,'投注明细'!P3:P202&lt;&gt;"未结算",'投注明细'!P3:P202&lt;&gt;""),ROWS($A$16:A22)),"")</x:f>
      </x:c>
      <x:c r="C22" s="15" t="str">
        <x:f>IFERROR(INDEX(FILTER('投注明细'!H3:H202,'投注明细'!P3:P202&lt;&gt;"未结算",'投注明细'!P3:P202&lt;&gt;""),ROWS($A$16:A22)),"")</x:f>
      </x:c>
      <x:c r="D22" s="15" t="str">
        <x:f>IFERROR(INDEX(FILTER('投注明细'!I3:I202,'投注明细'!P3:P202&lt;&gt;"未结算",'投注明细'!P3:P202&lt;&gt;""),ROWS($A$16:A22)),"")</x:f>
      </x:c>
      <x:c r="E22" s="25" t="str">
        <x:f>IFERROR(INDEX(FILTER('投注明细'!L3:L202,'投注明细'!P3:P202&lt;&gt;"未结算",'投注明细'!P3:P202&lt;&gt;""),ROWS($A$16:A22)),"")</x:f>
      </x:c>
      <x:c r="F22" s="28" t="str">
        <x:f>IFERROR(INDEX(FILTER('投注明细'!M3:M202,'投注明细'!P3:P202&lt;&gt;"未结算",'投注明细'!P3:P202&lt;&gt;""),ROWS($A$16:A22)),"")</x:f>
      </x:c>
      <x:c r="G22" s="15" t="str">
        <x:f>IFERROR(INDEX(FILTER('投注明细'!P3:P202,'投注明细'!P3:P202&lt;&gt;"未结算",'投注明细'!P3:P202&lt;&gt;""),ROWS($A$16:A22)),"")</x:f>
      </x:c>
      <x:c r="H22" s="25" t="str">
        <x:f>IFERROR(INDEX(FILTER('投注明细'!R3:R202,'投注明细'!P3:P202&lt;&gt;"未结算",'投注明细'!P3:P202&lt;&gt;""),ROWS($A$16:A22)),"")</x:f>
      </x:c>
    </x:row>
    <x:row r="23">
      <x:c r="A23" s="15" t="str">
        <x:f>IFERROR(INDEX(FILTER('投注明细'!A3:A202,'投注明细'!P3:P202&lt;&gt;"未结算",'投注明细'!P3:P202&lt;&gt;""),ROWS($A$16:A23)),"")</x:f>
      </x:c>
      <x:c r="B23" s="15" t="str">
        <x:f>IFERROR(INDEX(FILTER('投注明细'!C3:C202,'投注明细'!P3:P202&lt;&gt;"未结算",'投注明细'!P3:P202&lt;&gt;""),ROWS($A$16:A23)),"")</x:f>
      </x:c>
      <x:c r="C23" s="15" t="str">
        <x:f>IFERROR(INDEX(FILTER('投注明细'!H3:H202,'投注明细'!P3:P202&lt;&gt;"未结算",'投注明细'!P3:P202&lt;&gt;""),ROWS($A$16:A23)),"")</x:f>
      </x:c>
      <x:c r="D23" s="15" t="str">
        <x:f>IFERROR(INDEX(FILTER('投注明细'!I3:I202,'投注明细'!P3:P202&lt;&gt;"未结算",'投注明细'!P3:P202&lt;&gt;""),ROWS($A$16:A23)),"")</x:f>
      </x:c>
      <x:c r="E23" s="25" t="str">
        <x:f>IFERROR(INDEX(FILTER('投注明细'!L3:L202,'投注明细'!P3:P202&lt;&gt;"未结算",'投注明细'!P3:P202&lt;&gt;""),ROWS($A$16:A23)),"")</x:f>
      </x:c>
      <x:c r="F23" s="28" t="str">
        <x:f>IFERROR(INDEX(FILTER('投注明细'!M3:M202,'投注明细'!P3:P202&lt;&gt;"未结算",'投注明细'!P3:P202&lt;&gt;""),ROWS($A$16:A23)),"")</x:f>
      </x:c>
      <x:c r="G23" s="15" t="str">
        <x:f>IFERROR(INDEX(FILTER('投注明细'!P3:P202,'投注明细'!P3:P202&lt;&gt;"未结算",'投注明细'!P3:P202&lt;&gt;""),ROWS($A$16:A23)),"")</x:f>
      </x:c>
      <x:c r="H23" s="25" t="str">
        <x:f>IFERROR(INDEX(FILTER('投注明细'!R3:R202,'投注明细'!P3:P202&lt;&gt;"未结算",'投注明细'!P3:P202&lt;&gt;""),ROWS($A$16:A23)),"")</x:f>
      </x:c>
    </x:row>
    <x:row r="24">
      <x:c r="A24" s="15" t="str">
        <x:f>IFERROR(INDEX(FILTER('投注明细'!A3:A202,'投注明细'!P3:P202&lt;&gt;"未结算",'投注明细'!P3:P202&lt;&gt;""),ROWS($A$16:A24)),"")</x:f>
      </x:c>
      <x:c r="B24" s="15" t="str">
        <x:f>IFERROR(INDEX(FILTER('投注明细'!C3:C202,'投注明细'!P3:P202&lt;&gt;"未结算",'投注明细'!P3:P202&lt;&gt;""),ROWS($A$16:A24)),"")</x:f>
      </x:c>
      <x:c r="C24" s="15" t="str">
        <x:f>IFERROR(INDEX(FILTER('投注明细'!H3:H202,'投注明细'!P3:P202&lt;&gt;"未结算",'投注明细'!P3:P202&lt;&gt;""),ROWS($A$16:A24)),"")</x:f>
      </x:c>
      <x:c r="D24" s="15" t="str">
        <x:f>IFERROR(INDEX(FILTER('投注明细'!I3:I202,'投注明细'!P3:P202&lt;&gt;"未结算",'投注明细'!P3:P202&lt;&gt;""),ROWS($A$16:A24)),"")</x:f>
      </x:c>
      <x:c r="E24" s="25" t="str">
        <x:f>IFERROR(INDEX(FILTER('投注明细'!L3:L202,'投注明细'!P3:P202&lt;&gt;"未结算",'投注明细'!P3:P202&lt;&gt;""),ROWS($A$16:A24)),"")</x:f>
      </x:c>
      <x:c r="F24" s="28" t="str">
        <x:f>IFERROR(INDEX(FILTER('投注明细'!M3:M202,'投注明细'!P3:P202&lt;&gt;"未结算",'投注明细'!P3:P202&lt;&gt;""),ROWS($A$16:A24)),"")</x:f>
      </x:c>
      <x:c r="G24" s="15" t="str">
        <x:f>IFERROR(INDEX(FILTER('投注明细'!P3:P202,'投注明细'!P3:P202&lt;&gt;"未结算",'投注明细'!P3:P202&lt;&gt;""),ROWS($A$16:A24)),"")</x:f>
      </x:c>
      <x:c r="H24" s="25" t="str">
        <x:f>IFERROR(INDEX(FILTER('投注明细'!R3:R202,'投注明细'!P3:P202&lt;&gt;"未结算",'投注明细'!P3:P202&lt;&gt;""),ROWS($A$16:A24)),"")</x:f>
      </x:c>
    </x:row>
    <x:row r="25">
      <x:c r="A25" s="15" t="str">
        <x:f>IFERROR(INDEX(FILTER('投注明细'!A3:A202,'投注明细'!P3:P202&lt;&gt;"未结算",'投注明细'!P3:P202&lt;&gt;""),ROWS($A$16:A25)),"")</x:f>
      </x:c>
      <x:c r="B25" s="15" t="str">
        <x:f>IFERROR(INDEX(FILTER('投注明细'!C3:C202,'投注明细'!P3:P202&lt;&gt;"未结算",'投注明细'!P3:P202&lt;&gt;""),ROWS($A$16:A25)),"")</x:f>
      </x:c>
      <x:c r="C25" s="15" t="str">
        <x:f>IFERROR(INDEX(FILTER('投注明细'!H3:H202,'投注明细'!P3:P202&lt;&gt;"未结算",'投注明细'!P3:P202&lt;&gt;""),ROWS($A$16:A25)),"")</x:f>
      </x:c>
      <x:c r="D25" s="15" t="str">
        <x:f>IFERROR(INDEX(FILTER('投注明细'!I3:I202,'投注明细'!P3:P202&lt;&gt;"未结算",'投注明细'!P3:P202&lt;&gt;""),ROWS($A$16:A25)),"")</x:f>
      </x:c>
      <x:c r="E25" s="25" t="str">
        <x:f>IFERROR(INDEX(FILTER('投注明细'!L3:L202,'投注明细'!P3:P202&lt;&gt;"未结算",'投注明细'!P3:P202&lt;&gt;""),ROWS($A$16:A25)),"")</x:f>
      </x:c>
      <x:c r="F25" s="28" t="str">
        <x:f>IFERROR(INDEX(FILTER('投注明细'!M3:M202,'投注明细'!P3:P202&lt;&gt;"未结算",'投注明细'!P3:P202&lt;&gt;""),ROWS($A$16:A25)),"")</x:f>
      </x:c>
      <x:c r="G25" s="15" t="str">
        <x:f>IFERROR(INDEX(FILTER('投注明细'!P3:P202,'投注明细'!P3:P202&lt;&gt;"未结算",'投注明细'!P3:P202&lt;&gt;""),ROWS($A$16:A25)),"")</x:f>
      </x:c>
      <x:c r="H25" s="25" t="str">
        <x:f>IFERROR(INDEX(FILTER('投注明细'!R3:R202,'投注明细'!P3:P202&lt;&gt;"未结算",'投注明细'!P3:P202&lt;&gt;""),ROWS($A$16:A25)),"")</x:f>
      </x:c>
    </x:row>
    <x:row r="28">
      <x:c r="A28" s="23" t="str">
        <x:v>复盘口径</x:v>
      </x:c>
      <x:c r="B28" s="24" t="str">
        <x:v>这份表按单笔投注记录，并用“投注类型”区分赛前、滚球和串关；同场多玩法不合并，方便之后找出具体策略问题。</x:v>
      </x:c>
      <x:c r="C28" s="24" t="str"/>
      <x:c r="D28" s="24" t="str"/>
      <x:c r="E28" s="24" t="str"/>
      <x:c r="F28" s="24" t="str"/>
      <x:c r="G28" s="24" t="str"/>
      <x:c r="H28" s="24" t="str"/>
    </x:row>
    <x:row r="29">
      <x:c r="A29" s="23" t="str">
        <x:v>资金纪律</x:v>
      </x:c>
      <x:c r="B29" s="24" t="str">
        <x:v>默认本金1000元，参数页单笔建议上限为50元；超出会在明细页黄色提示。</x:v>
      </x:c>
      <x:c r="C29" s="24" t="str"/>
      <x:c r="D29" s="24" t="str"/>
      <x:c r="E29" s="24" t="str"/>
      <x:c r="F29" s="24" t="str"/>
      <x:c r="G29" s="24" t="str"/>
      <x:c r="H29" s="24" t="str"/>
    </x:row>
    <x:row r="30">
      <x:c r="A30" s="23" t="str">
        <x:v>结果维护</x:v>
      </x:c>
      <x:c r="B30" s="24" t="str">
        <x:v>未结算先填“未结算”，比赛结束后改成赢/输/走水/半赢/半输/取消。</x:v>
      </x:c>
      <x:c r="C30" s="24" t="str"/>
      <x:c r="D30" s="24" t="str"/>
      <x:c r="E30" s="24" t="str"/>
      <x:c r="F30" s="24" t="str"/>
      <x:c r="G30" s="24" t="str"/>
      <x:c r="H30" s="24" t="str"/>
    </x:row>
  </x:sheetData>
  <x:mergeCells>
    <x:mergeCell ref="A1:N1"/>
    <x:mergeCell ref="D3:H3"/>
    <x:mergeCell ref="J3:N3"/>
    <x:mergeCell ref="A14:H14"/>
    <x:mergeCell ref="B28:H28"/>
    <x:mergeCell ref="B29:H29"/>
    <x:mergeCell ref="B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.890000343322754" hidden="0" customWidth="1"/>
    <x:col min="3" max="3" width="14.4399995803833" hidden="0" customWidth="1"/>
    <x:col min="4" max="4" width="10.890000343322754" hidden="0" customWidth="1"/>
    <x:col min="5" max="5" width="10.4399995803833" hidden="0" customWidth="1"/>
    <x:col min="6" max="6" width="15.5600004196167" hidden="0" customWidth="1"/>
    <x:col min="7" max="7" width="12.220000267028809" hidden="0" customWidth="1"/>
    <x:col min="8" max="8" width="9.329999923706055" hidden="0" customWidth="1"/>
    <x:col min="9" max="9" width="18.889999389648438" hidden="0" customWidth="1"/>
    <x:col min="10" max="10" width="12.220000267028809" hidden="0" customWidth="1"/>
    <x:col min="11" max="11" width="11.109999656677246" hidden="0" customWidth="1"/>
    <x:col min="12" max="12" width="10.220000267028809" hidden="0" customWidth="1"/>
    <x:col min="13" max="13" width="8.670000076293945" hidden="0" customWidth="1"/>
    <x:col min="14" max="14" width="9.109999656677246" hidden="0" customWidth="1"/>
    <x:col min="15" max="15" width="10.670000076293945" hidden="0" customWidth="1"/>
    <x:col min="16" max="16" width="9.5600004196167" hidden="0" customWidth="1"/>
    <x:col min="17" max="17" width="10.670000076293945" hidden="0" customWidth="1"/>
    <x:col min="18" max="18" width="10.670000076293945" hidden="0" customWidth="1"/>
    <x:col min="19" max="19" width="9.109999656677246" hidden="0" customWidth="1"/>
    <x:col min="20" max="20" width="11.109999656677246" hidden="0" customWidth="1"/>
    <x:col min="21" max="21" width="24.440000534057617" hidden="0" customWidth="1"/>
    <x:col min="22" max="22" width="24.440000534057617" hidden="0" customWidth="1"/>
    <x:col min="23" max="23" width="17.780000686645508" hidden="0" customWidth="1"/>
  </x:cols>
  <x:sheetData>
    <x:row r="1" ht="31.5" customHeight="1">
      <x:c r="A1" s="3" t="str">
        <x:v>单笔投注复盘明细</x:v>
      </x:c>
      <x:c r="B1" s="3" t="str">
        <x:v>单笔投注复盘明细</x:v>
      </x:c>
      <x:c r="C1" s="3" t="str">
        <x:v>单笔投注复盘明细</x:v>
      </x:c>
      <x:c r="D1" s="3" t="str">
        <x:v>单笔投注复盘明细</x:v>
      </x:c>
      <x:c r="E1" s="3" t="str">
        <x:v>单笔投注复盘明细</x:v>
      </x:c>
      <x:c r="F1" s="3" t="str">
        <x:v>单笔投注复盘明细</x:v>
      </x:c>
      <x:c r="G1" s="3" t="str">
        <x:v>单笔投注复盘明细</x:v>
      </x:c>
      <x:c r="H1" s="3" t="str">
        <x:v>单笔投注复盘明细</x:v>
      </x:c>
      <x:c r="I1" s="3" t="str">
        <x:v>单笔投注复盘明细</x:v>
      </x:c>
      <x:c r="J1" s="3" t="str">
        <x:v>单笔投注复盘明细</x:v>
      </x:c>
      <x:c r="K1" s="3" t="str">
        <x:v>单笔投注复盘明细</x:v>
      </x:c>
      <x:c r="L1" s="3" t="str">
        <x:v>单笔投注复盘明细</x:v>
      </x:c>
      <x:c r="M1" s="3" t="str">
        <x:v>单笔投注复盘明细</x:v>
      </x:c>
      <x:c r="N1" s="3" t="str">
        <x:v>单笔投注复盘明细</x:v>
      </x:c>
      <x:c r="O1" s="3" t="str">
        <x:v>单笔投注复盘明细</x:v>
      </x:c>
      <x:c r="P1" s="3" t="str">
        <x:v>单笔投注复盘明细</x:v>
      </x:c>
      <x:c r="Q1" s="3" t="str">
        <x:v>单笔投注复盘明细</x:v>
      </x:c>
      <x:c r="R1" s="3" t="str">
        <x:v>单笔投注复盘明细</x:v>
      </x:c>
      <x:c r="S1" s="3" t="str">
        <x:v>单笔投注复盘明细</x:v>
      </x:c>
      <x:c r="T1" s="3" t="str">
        <x:v>单笔投注复盘明细</x:v>
      </x:c>
      <x:c r="U1" s="3" t="str">
        <x:v>单笔投注复盘明细</x:v>
      </x:c>
      <x:c r="V1" s="3" t="str">
        <x:v>单笔投注复盘明细</x:v>
      </x:c>
      <x:c r="W1" s="3" t="str">
        <x:v>单笔投注复盘明细</x:v>
      </x:c>
    </x:row>
    <x:row r="2" ht="25.5" customHeight="1">
      <x:c r="A2" s="17" t="str">
        <x:v>id</x:v>
      </x:c>
      <x:c r="B2" s="17" t="str">
        <x:v>投注日期</x:v>
      </x:c>
      <x:c r="C2" s="17" t="str">
        <x:v>投注场次</x:v>
      </x:c>
      <x:c r="D2" s="17" t="str">
        <x:v>比赛日期</x:v>
      </x:c>
      <x:c r="E2" s="17" t="str">
        <x:v>场次分类</x:v>
      </x:c>
      <x:c r="F2" s="17" t="str">
        <x:v>对阵</x:v>
      </x:c>
      <x:c r="G2" s="17" t="str">
        <x:v>市场/玩法</x:v>
      </x:c>
      <x:c r="H2" s="17" t="str">
        <x:v>投注类型</x:v>
      </x:c>
      <x:c r="I2" s="17" t="str">
        <x:v>投注内容</x:v>
      </x:c>
      <x:c r="J2" s="17" t="str">
        <x:v>策略标签</x:v>
      </x:c>
      <x:c r="K2" s="17" t="str">
        <x:v>投注前本金</x:v>
      </x:c>
      <x:c r="L2" s="17" t="str">
        <x:v>投注金额</x:v>
      </x:c>
      <x:c r="M2" s="17" t="str">
        <x:v>投注赔率</x:v>
      </x:c>
      <x:c r="N2" s="17" t="str">
        <x:v>资金占比</x:v>
      </x:c>
      <x:c r="O2" s="17" t="str">
        <x:v>潜在返还</x:v>
      </x:c>
      <x:c r="P2" s="17" t="str">
        <x:v>投注结果</x:v>
      </x:c>
      <x:c r="Q2" s="17" t="str">
        <x:v>结算金额</x:v>
      </x:c>
      <x:c r="R2" s="17" t="str">
        <x:v>投注收益</x:v>
      </x:c>
      <x:c r="S2" s="17" t="str">
        <x:v>ROI</x:v>
      </x:c>
      <x:c r="T2" s="17" t="str">
        <x:v>滚动本金</x:v>
      </x:c>
      <x:c r="U2" s="17" t="str">
        <x:v>赛前依据</x:v>
      </x:c>
      <x:c r="V2" s="17" t="str">
        <x:v>赛后复盘</x:v>
      </x:c>
      <x:c r="W2" s="17" t="str">
        <x:v>备注</x:v>
      </x:c>
    </x:row>
    <x:row r="3" ht="22.5" customHeight="1">
      <x:c r="A3" s="16" t="str">
        <x:f>IF(C3="","",ROW()-2)</x:f>
      </x:c>
      <x:c r="B3" s="21"/>
      <x:c r="C3" s="16"/>
      <x:c r="D3" s="21"/>
      <x:c r="E3" s="16"/>
      <x:c r="F3" s="16"/>
      <x:c r="G3" s="16"/>
      <x:c r="H3" s="16"/>
      <x:c r="I3" s="16"/>
      <x:c r="J3" s="16"/>
      <x:c r="K3" s="18" t="str">
        <x:f>IF(L3="","",'参数'!$B$3+IF(ROW()=3,0,SUM($R$3:INDEX($R:$R,ROW()-1))))</x:f>
      </x:c>
      <x:c r="L3" s="18"/>
      <x:c r="M3" s="19"/>
      <x:c r="N3" s="20" t="str">
        <x:f>IF(OR(L3="",K3=""),"",L3/K3)</x:f>
      </x:c>
      <x:c r="O3" s="18" t="str">
        <x:f>IF(OR(L3="",M3=""),"",L3*M3)</x:f>
      </x:c>
      <x:c r="P3" s="18"/>
      <x:c r="Q3" s="18" t="str">
        <x:f>IF(OR(L3="",P3="",P3="未结算"),"",SWITCH(P3,"赢",L3*M3,"输",0,"走水",L3,"取消",L3,"半赢",L3*(1+(M3-1)/2),"半输",L3*0.5,""))</x:f>
      </x:c>
      <x:c r="R3" s="18" t="str">
        <x:f>IF(Q3="","",Q3-L3)</x:f>
      </x:c>
      <x:c r="S3" s="20" t="str">
        <x:f>IF(OR(L3="",R3=""),"",R3/L3)</x:f>
      </x:c>
      <x:c r="T3" s="18" t="str">
        <x:f>IF(R3="","",'参数'!$B$3+SUM($R$3:R3))</x:f>
      </x:c>
      <x:c r="U3" s="16"/>
      <x:c r="V3" s="16"/>
      <x:c r="W3" s="16"/>
    </x:row>
    <x:row r="4" ht="22.5" customHeight="1">
      <x:c r="A4" s="16" t="str">
        <x:f>IF(C4="","",ROW()-2)</x:f>
      </x:c>
      <x:c r="B4" s="21"/>
      <x:c r="C4" s="16"/>
      <x:c r="D4" s="21"/>
      <x:c r="E4" s="16"/>
      <x:c r="F4" s="16"/>
      <x:c r="G4" s="16"/>
      <x:c r="H4" s="16"/>
      <x:c r="I4" s="16"/>
      <x:c r="J4" s="16"/>
      <x:c r="K4" s="18" t="str">
        <x:f>IF(L4="","",'参数'!$B$3+IF(ROW()=3,0,SUM($R$3:INDEX($R:$R,ROW()-1))))</x:f>
      </x:c>
      <x:c r="L4" s="18"/>
      <x:c r="M4" s="19"/>
      <x:c r="N4" s="20" t="str">
        <x:f>IF(OR(L4="",K4=""),"",L4/K4)</x:f>
      </x:c>
      <x:c r="O4" s="18" t="str">
        <x:f>IF(OR(L4="",M4=""),"",L4*M4)</x:f>
      </x:c>
      <x:c r="P4" s="18"/>
      <x:c r="Q4" s="18" t="str">
        <x:f>IF(OR(L4="",P4="",P4="未结算"),"",SWITCH(P4,"赢",L4*M4,"输",0,"走水",L4,"取消",L4,"半赢",L4*(1+(M4-1)/2),"半输",L4*0.5,""))</x:f>
      </x:c>
      <x:c r="R4" s="18" t="str">
        <x:f>IF(Q4="","",Q4-L4)</x:f>
      </x:c>
      <x:c r="S4" s="20" t="str">
        <x:f>IF(OR(L4="",R4=""),"",R4/L4)</x:f>
      </x:c>
      <x:c r="T4" s="18" t="str">
        <x:f>IF(R4="","",'参数'!$B$3+SUM($R$3:R4))</x:f>
      </x:c>
      <x:c r="U4" s="16"/>
      <x:c r="V4" s="16"/>
      <x:c r="W4" s="16"/>
    </x:row>
    <x:row r="5" ht="22.5" customHeight="1">
      <x:c r="A5" s="16" t="str">
        <x:f>IF(C5="","",ROW()-2)</x:f>
      </x:c>
      <x:c r="B5" s="21"/>
      <x:c r="C5" s="16"/>
      <x:c r="D5" s="21"/>
      <x:c r="E5" s="16"/>
      <x:c r="F5" s="16"/>
      <x:c r="G5" s="16"/>
      <x:c r="H5" s="16"/>
      <x:c r="I5" s="16"/>
      <x:c r="J5" s="16"/>
      <x:c r="K5" s="18" t="str">
        <x:f>IF(L5="","",'参数'!$B$3+IF(ROW()=3,0,SUM($R$3:INDEX($R:$R,ROW()-1))))</x:f>
      </x:c>
      <x:c r="L5" s="18"/>
      <x:c r="M5" s="19"/>
      <x:c r="N5" s="20" t="str">
        <x:f>IF(OR(L5="",K5=""),"",L5/K5)</x:f>
      </x:c>
      <x:c r="O5" s="18" t="str">
        <x:f>IF(OR(L5="",M5=""),"",L5*M5)</x:f>
      </x:c>
      <x:c r="P5" s="18"/>
      <x:c r="Q5" s="18" t="str">
        <x:f>IF(OR(L5="",P5="",P5="未结算"),"",SWITCH(P5,"赢",L5*M5,"输",0,"走水",L5,"取消",L5,"半赢",L5*(1+(M5-1)/2),"半输",L5*0.5,""))</x:f>
      </x:c>
      <x:c r="R5" s="18" t="str">
        <x:f>IF(Q5="","",Q5-L5)</x:f>
      </x:c>
      <x:c r="S5" s="20" t="str">
        <x:f>IF(OR(L5="",R5=""),"",R5/L5)</x:f>
      </x:c>
      <x:c r="T5" s="18" t="str">
        <x:f>IF(R5="","",'参数'!$B$3+SUM($R$3:R5))</x:f>
      </x:c>
      <x:c r="U5" s="16"/>
      <x:c r="V5" s="16"/>
      <x:c r="W5" s="16"/>
    </x:row>
    <x:row r="6" ht="22.5" customHeight="1">
      <x:c r="A6" s="16" t="str">
        <x:f>IF(C6="","",ROW()-2)</x:f>
      </x:c>
      <x:c r="B6" s="21"/>
      <x:c r="C6" s="16"/>
      <x:c r="D6" s="21"/>
      <x:c r="E6" s="16"/>
      <x:c r="F6" s="16"/>
      <x:c r="G6" s="16"/>
      <x:c r="H6" s="16"/>
      <x:c r="I6" s="16"/>
      <x:c r="J6" s="16"/>
      <x:c r="K6" s="18" t="str">
        <x:f>IF(L6="","",'参数'!$B$3+IF(ROW()=3,0,SUM($R$3:INDEX($R:$R,ROW()-1))))</x:f>
      </x:c>
      <x:c r="L6" s="18"/>
      <x:c r="M6" s="19"/>
      <x:c r="N6" s="20" t="str">
        <x:f>IF(OR(L6="",K6=""),"",L6/K6)</x:f>
      </x:c>
      <x:c r="O6" s="18" t="str">
        <x:f>IF(OR(L6="",M6=""),"",L6*M6)</x:f>
      </x:c>
      <x:c r="P6" s="18"/>
      <x:c r="Q6" s="18" t="str">
        <x:f>IF(OR(L6="",P6="",P6="未结算"),"",SWITCH(P6,"赢",L6*M6,"输",0,"走水",L6,"取消",L6,"半赢",L6*(1+(M6-1)/2),"半输",L6*0.5,""))</x:f>
      </x:c>
      <x:c r="R6" s="18" t="str">
        <x:f>IF(Q6="","",Q6-L6)</x:f>
      </x:c>
      <x:c r="S6" s="20" t="str">
        <x:f>IF(OR(L6="",R6=""),"",R6/L6)</x:f>
      </x:c>
      <x:c r="T6" s="18" t="str">
        <x:f>IF(R6="","",'参数'!$B$3+SUM($R$3:R6))</x:f>
      </x:c>
      <x:c r="U6" s="16"/>
      <x:c r="V6" s="16"/>
      <x:c r="W6" s="16"/>
    </x:row>
    <x:row r="7" ht="22.5" customHeight="1">
      <x:c r="A7" s="16" t="str">
        <x:f>IF(C7="","",ROW()-2)</x:f>
      </x:c>
      <x:c r="B7" s="21"/>
      <x:c r="C7" s="16"/>
      <x:c r="D7" s="21"/>
      <x:c r="E7" s="16"/>
      <x:c r="F7" s="16"/>
      <x:c r="G7" s="16"/>
      <x:c r="H7" s="16"/>
      <x:c r="I7" s="16"/>
      <x:c r="J7" s="16"/>
      <x:c r="K7" s="18" t="str">
        <x:f>IF(L7="","",'参数'!$B$3+IF(ROW()=3,0,SUM($R$3:INDEX($R:$R,ROW()-1))))</x:f>
      </x:c>
      <x:c r="L7" s="18"/>
      <x:c r="M7" s="19"/>
      <x:c r="N7" s="20" t="str">
        <x:f>IF(OR(L7="",K7=""),"",L7/K7)</x:f>
      </x:c>
      <x:c r="O7" s="18" t="str">
        <x:f>IF(OR(L7="",M7=""),"",L7*M7)</x:f>
      </x:c>
      <x:c r="P7" s="18"/>
      <x:c r="Q7" s="18" t="str">
        <x:f>IF(OR(L7="",P7="",P7="未结算"),"",SWITCH(P7,"赢",L7*M7,"输",0,"走水",L7,"取消",L7,"半赢",L7*(1+(M7-1)/2),"半输",L7*0.5,""))</x:f>
      </x:c>
      <x:c r="R7" s="18" t="str">
        <x:f>IF(Q7="","",Q7-L7)</x:f>
      </x:c>
      <x:c r="S7" s="20" t="str">
        <x:f>IF(OR(L7="",R7=""),"",R7/L7)</x:f>
      </x:c>
      <x:c r="T7" s="18" t="str">
        <x:f>IF(R7="","",'参数'!$B$3+SUM($R$3:R7))</x:f>
      </x:c>
      <x:c r="U7" s="16"/>
      <x:c r="V7" s="16"/>
      <x:c r="W7" s="16"/>
    </x:row>
    <x:row r="8" ht="22.5" customHeight="1">
      <x:c r="A8" s="16" t="str">
        <x:f>IF(C8="","",ROW()-2)</x:f>
      </x:c>
      <x:c r="B8" s="21"/>
      <x:c r="C8" s="16"/>
      <x:c r="D8" s="21"/>
      <x:c r="E8" s="16"/>
      <x:c r="F8" s="16"/>
      <x:c r="G8" s="16"/>
      <x:c r="H8" s="16"/>
      <x:c r="I8" s="16"/>
      <x:c r="J8" s="16"/>
      <x:c r="K8" s="18" t="str">
        <x:f>IF(L8="","",'参数'!$B$3+IF(ROW()=3,0,SUM($R$3:INDEX($R:$R,ROW()-1))))</x:f>
      </x:c>
      <x:c r="L8" s="18"/>
      <x:c r="M8" s="19"/>
      <x:c r="N8" s="20" t="str">
        <x:f>IF(OR(L8="",K8=""),"",L8/K8)</x:f>
      </x:c>
      <x:c r="O8" s="18" t="str">
        <x:f>IF(OR(L8="",M8=""),"",L8*M8)</x:f>
      </x:c>
      <x:c r="P8" s="18"/>
      <x:c r="Q8" s="18" t="str">
        <x:f>IF(OR(L8="",P8="",P8="未结算"),"",SWITCH(P8,"赢",L8*M8,"输",0,"走水",L8,"取消",L8,"半赢",L8*(1+(M8-1)/2),"半输",L8*0.5,""))</x:f>
      </x:c>
      <x:c r="R8" s="18" t="str">
        <x:f>IF(Q8="","",Q8-L8)</x:f>
      </x:c>
      <x:c r="S8" s="20" t="str">
        <x:f>IF(OR(L8="",R8=""),"",R8/L8)</x:f>
      </x:c>
      <x:c r="T8" s="18" t="str">
        <x:f>IF(R8="","",'参数'!$B$3+SUM($R$3:R8))</x:f>
      </x:c>
      <x:c r="U8" s="16"/>
      <x:c r="V8" s="16"/>
      <x:c r="W8" s="16"/>
    </x:row>
    <x:row r="9" ht="22.5" customHeight="1">
      <x:c r="A9" s="16" t="str">
        <x:f>IF(C9="","",ROW()-2)</x:f>
      </x:c>
      <x:c r="B9" s="21"/>
      <x:c r="C9" s="16"/>
      <x:c r="D9" s="21"/>
      <x:c r="E9" s="16"/>
      <x:c r="F9" s="16"/>
      <x:c r="G9" s="16"/>
      <x:c r="H9" s="16"/>
      <x:c r="I9" s="16"/>
      <x:c r="J9" s="16"/>
      <x:c r="K9" s="18" t="str">
        <x:f>IF(L9="","",'参数'!$B$3+IF(ROW()=3,0,SUM($R$3:INDEX($R:$R,ROW()-1))))</x:f>
      </x:c>
      <x:c r="L9" s="18"/>
      <x:c r="M9" s="19"/>
      <x:c r="N9" s="20" t="str">
        <x:f>IF(OR(L9="",K9=""),"",L9/K9)</x:f>
      </x:c>
      <x:c r="O9" s="18" t="str">
        <x:f>IF(OR(L9="",M9=""),"",L9*M9)</x:f>
      </x:c>
      <x:c r="P9" s="18"/>
      <x:c r="Q9" s="18" t="str">
        <x:f>IF(OR(L9="",P9="",P9="未结算"),"",SWITCH(P9,"赢",L9*M9,"输",0,"走水",L9,"取消",L9,"半赢",L9*(1+(M9-1)/2),"半输",L9*0.5,""))</x:f>
      </x:c>
      <x:c r="R9" s="18" t="str">
        <x:f>IF(Q9="","",Q9-L9)</x:f>
      </x:c>
      <x:c r="S9" s="20" t="str">
        <x:f>IF(OR(L9="",R9=""),"",R9/L9)</x:f>
      </x:c>
      <x:c r="T9" s="18" t="str">
        <x:f>IF(R9="","",'参数'!$B$3+SUM($R$3:R9))</x:f>
      </x:c>
      <x:c r="U9" s="16"/>
      <x:c r="V9" s="16"/>
      <x:c r="W9" s="16"/>
    </x:row>
    <x:row r="10" ht="22.5" customHeight="1">
      <x:c r="A10" s="16" t="str">
        <x:f>IF(C10="","",ROW()-2)</x:f>
      </x:c>
      <x:c r="B10" s="21"/>
      <x:c r="C10" s="16"/>
      <x:c r="D10" s="21"/>
      <x:c r="E10" s="16"/>
      <x:c r="F10" s="16"/>
      <x:c r="G10" s="16"/>
      <x:c r="H10" s="16"/>
      <x:c r="I10" s="16"/>
      <x:c r="J10" s="16"/>
      <x:c r="K10" s="18" t="str">
        <x:f>IF(L10="","",'参数'!$B$3+IF(ROW()=3,0,SUM($R$3:INDEX($R:$R,ROW()-1))))</x:f>
      </x:c>
      <x:c r="L10" s="18"/>
      <x:c r="M10" s="19"/>
      <x:c r="N10" s="20" t="str">
        <x:f>IF(OR(L10="",K10=""),"",L10/K10)</x:f>
      </x:c>
      <x:c r="O10" s="18" t="str">
        <x:f>IF(OR(L10="",M10=""),"",L10*M10)</x:f>
      </x:c>
      <x:c r="P10" s="18"/>
      <x:c r="Q10" s="18" t="str">
        <x:f>IF(OR(L10="",P10="",P10="未结算"),"",SWITCH(P10,"赢",L10*M10,"输",0,"走水",L10,"取消",L10,"半赢",L10*(1+(M10-1)/2),"半输",L10*0.5,""))</x:f>
      </x:c>
      <x:c r="R10" s="18" t="str">
        <x:f>IF(Q10="","",Q10-L10)</x:f>
      </x:c>
      <x:c r="S10" s="20" t="str">
        <x:f>IF(OR(L10="",R10=""),"",R10/L10)</x:f>
      </x:c>
      <x:c r="T10" s="18" t="str">
        <x:f>IF(R10="","",'参数'!$B$3+SUM($R$3:R10))</x:f>
      </x:c>
      <x:c r="U10" s="16"/>
      <x:c r="V10" s="16"/>
      <x:c r="W10" s="16"/>
    </x:row>
    <x:row r="11" ht="22.5" customHeight="1">
      <x:c r="A11" s="16" t="str">
        <x:f>IF(C11="","",ROW()-2)</x:f>
      </x:c>
      <x:c r="B11" s="21"/>
      <x:c r="C11" s="16"/>
      <x:c r="D11" s="21"/>
      <x:c r="E11" s="16"/>
      <x:c r="F11" s="16"/>
      <x:c r="G11" s="16"/>
      <x:c r="H11" s="16"/>
      <x:c r="I11" s="16"/>
      <x:c r="J11" s="16"/>
      <x:c r="K11" s="18" t="str">
        <x:f>IF(L11="","",'参数'!$B$3+IF(ROW()=3,0,SUM($R$3:INDEX($R:$R,ROW()-1))))</x:f>
      </x:c>
      <x:c r="L11" s="18"/>
      <x:c r="M11" s="19"/>
      <x:c r="N11" s="20" t="str">
        <x:f>IF(OR(L11="",K11=""),"",L11/K11)</x:f>
      </x:c>
      <x:c r="O11" s="18" t="str">
        <x:f>IF(OR(L11="",M11=""),"",L11*M11)</x:f>
      </x:c>
      <x:c r="P11" s="18"/>
      <x:c r="Q11" s="18" t="str">
        <x:f>IF(OR(L11="",P11="",P11="未结算"),"",SWITCH(P11,"赢",L11*M11,"输",0,"走水",L11,"取消",L11,"半赢",L11*(1+(M11-1)/2),"半输",L11*0.5,""))</x:f>
      </x:c>
      <x:c r="R11" s="18" t="str">
        <x:f>IF(Q11="","",Q11-L11)</x:f>
      </x:c>
      <x:c r="S11" s="20" t="str">
        <x:f>IF(OR(L11="",R11=""),"",R11/L11)</x:f>
      </x:c>
      <x:c r="T11" s="18" t="str">
        <x:f>IF(R11="","",'参数'!$B$3+SUM($R$3:R11))</x:f>
      </x:c>
      <x:c r="U11" s="16"/>
      <x:c r="V11" s="16"/>
      <x:c r="W11" s="16"/>
    </x:row>
    <x:row r="12" ht="22.5" customHeight="1">
      <x:c r="A12" s="16" t="str">
        <x:f>IF(C12="","",ROW()-2)</x:f>
      </x:c>
      <x:c r="B12" s="21"/>
      <x:c r="C12" s="16"/>
      <x:c r="D12" s="21"/>
      <x:c r="E12" s="16"/>
      <x:c r="F12" s="16"/>
      <x:c r="G12" s="16"/>
      <x:c r="H12" s="16"/>
      <x:c r="I12" s="16"/>
      <x:c r="J12" s="16"/>
      <x:c r="K12" s="18" t="str">
        <x:f>IF(L12="","",'参数'!$B$3+IF(ROW()=3,0,SUM($R$3:INDEX($R:$R,ROW()-1))))</x:f>
      </x:c>
      <x:c r="L12" s="18"/>
      <x:c r="M12" s="19"/>
      <x:c r="N12" s="20" t="str">
        <x:f>IF(OR(L12="",K12=""),"",L12/K12)</x:f>
      </x:c>
      <x:c r="O12" s="18" t="str">
        <x:f>IF(OR(L12="",M12=""),"",L12*M12)</x:f>
      </x:c>
      <x:c r="P12" s="18"/>
      <x:c r="Q12" s="18" t="str">
        <x:f>IF(OR(L12="",P12="",P12="未结算"),"",SWITCH(P12,"赢",L12*M12,"输",0,"走水",L12,"取消",L12,"半赢",L12*(1+(M12-1)/2),"半输",L12*0.5,""))</x:f>
      </x:c>
      <x:c r="R12" s="18" t="str">
        <x:f>IF(Q12="","",Q12-L12)</x:f>
      </x:c>
      <x:c r="S12" s="20" t="str">
        <x:f>IF(OR(L12="",R12=""),"",R12/L12)</x:f>
      </x:c>
      <x:c r="T12" s="18" t="str">
        <x:f>IF(R12="","",'参数'!$B$3+SUM($R$3:R12))</x:f>
      </x:c>
      <x:c r="U12" s="16"/>
      <x:c r="V12" s="16"/>
      <x:c r="W12" s="16"/>
    </x:row>
    <x:row r="13" ht="22.5" customHeight="1">
      <x:c r="A13" s="16" t="str">
        <x:f>IF(C13="","",ROW()-2)</x:f>
      </x:c>
      <x:c r="B13" s="21"/>
      <x:c r="C13" s="16"/>
      <x:c r="D13" s="21"/>
      <x:c r="E13" s="16"/>
      <x:c r="F13" s="16"/>
      <x:c r="G13" s="16"/>
      <x:c r="H13" s="16"/>
      <x:c r="I13" s="16"/>
      <x:c r="J13" s="16"/>
      <x:c r="K13" s="18" t="str">
        <x:f>IF(L13="","",'参数'!$B$3+IF(ROW()=3,0,SUM($R$3:INDEX($R:$R,ROW()-1))))</x:f>
      </x:c>
      <x:c r="L13" s="18"/>
      <x:c r="M13" s="19"/>
      <x:c r="N13" s="20" t="str">
        <x:f>IF(OR(L13="",K13=""),"",L13/K13)</x:f>
      </x:c>
      <x:c r="O13" s="18" t="str">
        <x:f>IF(OR(L13="",M13=""),"",L13*M13)</x:f>
      </x:c>
      <x:c r="P13" s="18"/>
      <x:c r="Q13" s="18" t="str">
        <x:f>IF(OR(L13="",P13="",P13="未结算"),"",SWITCH(P13,"赢",L13*M13,"输",0,"走水",L13,"取消",L13,"半赢",L13*(1+(M13-1)/2),"半输",L13*0.5,""))</x:f>
      </x:c>
      <x:c r="R13" s="18" t="str">
        <x:f>IF(Q13="","",Q13-L13)</x:f>
      </x:c>
      <x:c r="S13" s="20" t="str">
        <x:f>IF(OR(L13="",R13=""),"",R13/L13)</x:f>
      </x:c>
      <x:c r="T13" s="18" t="str">
        <x:f>IF(R13="","",'参数'!$B$3+SUM($R$3:R13))</x:f>
      </x:c>
      <x:c r="U13" s="16"/>
      <x:c r="V13" s="16"/>
      <x:c r="W13" s="16"/>
    </x:row>
    <x:row r="14" ht="22.5" customHeight="1">
      <x:c r="A14" s="16" t="str">
        <x:f>IF(C14="","",ROW()-2)</x:f>
      </x:c>
      <x:c r="B14" s="21"/>
      <x:c r="C14" s="16"/>
      <x:c r="D14" s="21"/>
      <x:c r="E14" s="16"/>
      <x:c r="F14" s="16"/>
      <x:c r="G14" s="16"/>
      <x:c r="H14" s="16"/>
      <x:c r="I14" s="16"/>
      <x:c r="J14" s="16"/>
      <x:c r="K14" s="18" t="str">
        <x:f>IF(L14="","",'参数'!$B$3+IF(ROW()=3,0,SUM($R$3:INDEX($R:$R,ROW()-1))))</x:f>
      </x:c>
      <x:c r="L14" s="18"/>
      <x:c r="M14" s="19"/>
      <x:c r="N14" s="20" t="str">
        <x:f>IF(OR(L14="",K14=""),"",L14/K14)</x:f>
      </x:c>
      <x:c r="O14" s="18" t="str">
        <x:f>IF(OR(L14="",M14=""),"",L14*M14)</x:f>
      </x:c>
      <x:c r="P14" s="18"/>
      <x:c r="Q14" s="18" t="str">
        <x:f>IF(OR(L14="",P14="",P14="未结算"),"",SWITCH(P14,"赢",L14*M14,"输",0,"走水",L14,"取消",L14,"半赢",L14*(1+(M14-1)/2),"半输",L14*0.5,""))</x:f>
      </x:c>
      <x:c r="R14" s="18" t="str">
        <x:f>IF(Q14="","",Q14-L14)</x:f>
      </x:c>
      <x:c r="S14" s="20" t="str">
        <x:f>IF(OR(L14="",R14=""),"",R14/L14)</x:f>
      </x:c>
      <x:c r="T14" s="18" t="str">
        <x:f>IF(R14="","",'参数'!$B$3+SUM($R$3:R14))</x:f>
      </x:c>
      <x:c r="U14" s="16"/>
      <x:c r="V14" s="16"/>
      <x:c r="W14" s="16"/>
    </x:row>
    <x:row r="15" ht="22.5" customHeight="1">
      <x:c r="A15" s="16" t="str">
        <x:f>IF(C15="","",ROW()-2)</x:f>
      </x:c>
      <x:c r="B15" s="21"/>
      <x:c r="C15" s="16"/>
      <x:c r="D15" s="21"/>
      <x:c r="E15" s="16"/>
      <x:c r="F15" s="16"/>
      <x:c r="G15" s="16"/>
      <x:c r="H15" s="16"/>
      <x:c r="I15" s="16"/>
      <x:c r="J15" s="16"/>
      <x:c r="K15" s="18" t="str">
        <x:f>IF(L15="","",'参数'!$B$3+IF(ROW()=3,0,SUM($R$3:INDEX($R:$R,ROW()-1))))</x:f>
      </x:c>
      <x:c r="L15" s="18"/>
      <x:c r="M15" s="19"/>
      <x:c r="N15" s="20" t="str">
        <x:f>IF(OR(L15="",K15=""),"",L15/K15)</x:f>
      </x:c>
      <x:c r="O15" s="18" t="str">
        <x:f>IF(OR(L15="",M15=""),"",L15*M15)</x:f>
      </x:c>
      <x:c r="P15" s="18"/>
      <x:c r="Q15" s="18" t="str">
        <x:f>IF(OR(L15="",P15="",P15="未结算"),"",SWITCH(P15,"赢",L15*M15,"输",0,"走水",L15,"取消",L15,"半赢",L15*(1+(M15-1)/2),"半输",L15*0.5,""))</x:f>
      </x:c>
      <x:c r="R15" s="18" t="str">
        <x:f>IF(Q15="","",Q15-L15)</x:f>
      </x:c>
      <x:c r="S15" s="20" t="str">
        <x:f>IF(OR(L15="",R15=""),"",R15/L15)</x:f>
      </x:c>
      <x:c r="T15" s="18" t="str">
        <x:f>IF(R15="","",'参数'!$B$3+SUM($R$3:R15))</x:f>
      </x:c>
      <x:c r="U15" s="16"/>
      <x:c r="V15" s="16"/>
      <x:c r="W15" s="16"/>
    </x:row>
    <x:row r="16" ht="22.5" customHeight="1">
      <x:c r="A16" s="16" t="str">
        <x:f>IF(C16="","",ROW()-2)</x:f>
      </x:c>
      <x:c r="B16" s="21"/>
      <x:c r="C16" s="16"/>
      <x:c r="D16" s="21"/>
      <x:c r="E16" s="16"/>
      <x:c r="F16" s="16"/>
      <x:c r="G16" s="16"/>
      <x:c r="H16" s="16"/>
      <x:c r="I16" s="16"/>
      <x:c r="J16" s="16"/>
      <x:c r="K16" s="18" t="str">
        <x:f>IF(L16="","",'参数'!$B$3+IF(ROW()=3,0,SUM($R$3:INDEX($R:$R,ROW()-1))))</x:f>
      </x:c>
      <x:c r="L16" s="18"/>
      <x:c r="M16" s="19"/>
      <x:c r="N16" s="20" t="str">
        <x:f>IF(OR(L16="",K16=""),"",L16/K16)</x:f>
      </x:c>
      <x:c r="O16" s="18" t="str">
        <x:f>IF(OR(L16="",M16=""),"",L16*M16)</x:f>
      </x:c>
      <x:c r="P16" s="18"/>
      <x:c r="Q16" s="18" t="str">
        <x:f>IF(OR(L16="",P16="",P16="未结算"),"",SWITCH(P16,"赢",L16*M16,"输",0,"走水",L16,"取消",L16,"半赢",L16*(1+(M16-1)/2),"半输",L16*0.5,""))</x:f>
      </x:c>
      <x:c r="R16" s="18" t="str">
        <x:f>IF(Q16="","",Q16-L16)</x:f>
      </x:c>
      <x:c r="S16" s="20" t="str">
        <x:f>IF(OR(L16="",R16=""),"",R16/L16)</x:f>
      </x:c>
      <x:c r="T16" s="18" t="str">
        <x:f>IF(R16="","",'参数'!$B$3+SUM($R$3:R16))</x:f>
      </x:c>
      <x:c r="U16" s="16"/>
      <x:c r="V16" s="16"/>
      <x:c r="W16" s="16"/>
    </x:row>
    <x:row r="17" ht="22.5" customHeight="1">
      <x:c r="A17" s="16" t="str">
        <x:f>IF(C17="","",ROW()-2)</x:f>
      </x:c>
      <x:c r="B17" s="21"/>
      <x:c r="C17" s="16"/>
      <x:c r="D17" s="21"/>
      <x:c r="E17" s="16"/>
      <x:c r="F17" s="16"/>
      <x:c r="G17" s="16"/>
      <x:c r="H17" s="16"/>
      <x:c r="I17" s="16"/>
      <x:c r="J17" s="16"/>
      <x:c r="K17" s="18" t="str">
        <x:f>IF(L17="","",'参数'!$B$3+IF(ROW()=3,0,SUM($R$3:INDEX($R:$R,ROW()-1))))</x:f>
      </x:c>
      <x:c r="L17" s="18"/>
      <x:c r="M17" s="19"/>
      <x:c r="N17" s="20" t="str">
        <x:f>IF(OR(L17="",K17=""),"",L17/K17)</x:f>
      </x:c>
      <x:c r="O17" s="18" t="str">
        <x:f>IF(OR(L17="",M17=""),"",L17*M17)</x:f>
      </x:c>
      <x:c r="P17" s="18"/>
      <x:c r="Q17" s="18" t="str">
        <x:f>IF(OR(L17="",P17="",P17="未结算"),"",SWITCH(P17,"赢",L17*M17,"输",0,"走水",L17,"取消",L17,"半赢",L17*(1+(M17-1)/2),"半输",L17*0.5,""))</x:f>
      </x:c>
      <x:c r="R17" s="18" t="str">
        <x:f>IF(Q17="","",Q17-L17)</x:f>
      </x:c>
      <x:c r="S17" s="20" t="str">
        <x:f>IF(OR(L17="",R17=""),"",R17/L17)</x:f>
      </x:c>
      <x:c r="T17" s="18" t="str">
        <x:f>IF(R17="","",'参数'!$B$3+SUM($R$3:R17))</x:f>
      </x:c>
      <x:c r="U17" s="16"/>
      <x:c r="V17" s="16"/>
      <x:c r="W17" s="16"/>
    </x:row>
    <x:row r="18" ht="22.5" customHeight="1">
      <x:c r="A18" s="16" t="str">
        <x:f>IF(C18="","",ROW()-2)</x:f>
      </x:c>
      <x:c r="B18" s="21"/>
      <x:c r="C18" s="16"/>
      <x:c r="D18" s="21"/>
      <x:c r="E18" s="16"/>
      <x:c r="F18" s="16"/>
      <x:c r="G18" s="16"/>
      <x:c r="H18" s="16"/>
      <x:c r="I18" s="16"/>
      <x:c r="J18" s="16"/>
      <x:c r="K18" s="18" t="str">
        <x:f>IF(L18="","",'参数'!$B$3+IF(ROW()=3,0,SUM($R$3:INDEX($R:$R,ROW()-1))))</x:f>
      </x:c>
      <x:c r="L18" s="18"/>
      <x:c r="M18" s="19"/>
      <x:c r="N18" s="20" t="str">
        <x:f>IF(OR(L18="",K18=""),"",L18/K18)</x:f>
      </x:c>
      <x:c r="O18" s="18" t="str">
        <x:f>IF(OR(L18="",M18=""),"",L18*M18)</x:f>
      </x:c>
      <x:c r="P18" s="18"/>
      <x:c r="Q18" s="18" t="str">
        <x:f>IF(OR(L18="",P18="",P18="未结算"),"",SWITCH(P18,"赢",L18*M18,"输",0,"走水",L18,"取消",L18,"半赢",L18*(1+(M18-1)/2),"半输",L18*0.5,""))</x:f>
      </x:c>
      <x:c r="R18" s="18" t="str">
        <x:f>IF(Q18="","",Q18-L18)</x:f>
      </x:c>
      <x:c r="S18" s="20" t="str">
        <x:f>IF(OR(L18="",R18=""),"",R18/L18)</x:f>
      </x:c>
      <x:c r="T18" s="18" t="str">
        <x:f>IF(R18="","",'参数'!$B$3+SUM($R$3:R18))</x:f>
      </x:c>
      <x:c r="U18" s="16"/>
      <x:c r="V18" s="16"/>
      <x:c r="W18" s="16"/>
    </x:row>
    <x:row r="19" ht="22.5" customHeight="1">
      <x:c r="A19" s="16" t="str">
        <x:f>IF(C19="","",ROW()-2)</x:f>
      </x:c>
      <x:c r="B19" s="21"/>
      <x:c r="C19" s="16"/>
      <x:c r="D19" s="21"/>
      <x:c r="E19" s="16"/>
      <x:c r="F19" s="16"/>
      <x:c r="G19" s="16"/>
      <x:c r="H19" s="16"/>
      <x:c r="I19" s="16"/>
      <x:c r="J19" s="16"/>
      <x:c r="K19" s="18" t="str">
        <x:f>IF(L19="","",'参数'!$B$3+IF(ROW()=3,0,SUM($R$3:INDEX($R:$R,ROW()-1))))</x:f>
      </x:c>
      <x:c r="L19" s="18"/>
      <x:c r="M19" s="19"/>
      <x:c r="N19" s="20" t="str">
        <x:f>IF(OR(L19="",K19=""),"",L19/K19)</x:f>
      </x:c>
      <x:c r="O19" s="18" t="str">
        <x:f>IF(OR(L19="",M19=""),"",L19*M19)</x:f>
      </x:c>
      <x:c r="P19" s="18"/>
      <x:c r="Q19" s="18" t="str">
        <x:f>IF(OR(L19="",P19="",P19="未结算"),"",SWITCH(P19,"赢",L19*M19,"输",0,"走水",L19,"取消",L19,"半赢",L19*(1+(M19-1)/2),"半输",L19*0.5,""))</x:f>
      </x:c>
      <x:c r="R19" s="18" t="str">
        <x:f>IF(Q19="","",Q19-L19)</x:f>
      </x:c>
      <x:c r="S19" s="20" t="str">
        <x:f>IF(OR(L19="",R19=""),"",R19/L19)</x:f>
      </x:c>
      <x:c r="T19" s="18" t="str">
        <x:f>IF(R19="","",'参数'!$B$3+SUM($R$3:R19))</x:f>
      </x:c>
      <x:c r="U19" s="16"/>
      <x:c r="V19" s="16"/>
      <x:c r="W19" s="16"/>
    </x:row>
    <x:row r="20" ht="22.5" customHeight="1">
      <x:c r="A20" s="16" t="str">
        <x:f>IF(C20="","",ROW()-2)</x:f>
      </x:c>
      <x:c r="B20" s="21"/>
      <x:c r="C20" s="16"/>
      <x:c r="D20" s="21"/>
      <x:c r="E20" s="16"/>
      <x:c r="F20" s="16"/>
      <x:c r="G20" s="16"/>
      <x:c r="H20" s="16"/>
      <x:c r="I20" s="16"/>
      <x:c r="J20" s="16"/>
      <x:c r="K20" s="18" t="str">
        <x:f>IF(L20="","",'参数'!$B$3+IF(ROW()=3,0,SUM($R$3:INDEX($R:$R,ROW()-1))))</x:f>
      </x:c>
      <x:c r="L20" s="18"/>
      <x:c r="M20" s="19"/>
      <x:c r="N20" s="20" t="str">
        <x:f>IF(OR(L20="",K20=""),"",L20/K20)</x:f>
      </x:c>
      <x:c r="O20" s="18" t="str">
        <x:f>IF(OR(L20="",M20=""),"",L20*M20)</x:f>
      </x:c>
      <x:c r="P20" s="18"/>
      <x:c r="Q20" s="18" t="str">
        <x:f>IF(OR(L20="",P20="",P20="未结算"),"",SWITCH(P20,"赢",L20*M20,"输",0,"走水",L20,"取消",L20,"半赢",L20*(1+(M20-1)/2),"半输",L20*0.5,""))</x:f>
      </x:c>
      <x:c r="R20" s="18" t="str">
        <x:f>IF(Q20="","",Q20-L20)</x:f>
      </x:c>
      <x:c r="S20" s="20" t="str">
        <x:f>IF(OR(L20="",R20=""),"",R20/L20)</x:f>
      </x:c>
      <x:c r="T20" s="18" t="str">
        <x:f>IF(R20="","",'参数'!$B$3+SUM($R$3:R20))</x:f>
      </x:c>
      <x:c r="U20" s="16"/>
      <x:c r="V20" s="16"/>
      <x:c r="W20" s="16"/>
    </x:row>
    <x:row r="21" ht="22.5" customHeight="1">
      <x:c r="A21" s="16" t="str">
        <x:f>IF(C21="","",ROW()-2)</x:f>
      </x:c>
      <x:c r="B21" s="21"/>
      <x:c r="C21" s="16"/>
      <x:c r="D21" s="21"/>
      <x:c r="E21" s="16"/>
      <x:c r="F21" s="16"/>
      <x:c r="G21" s="16"/>
      <x:c r="H21" s="16"/>
      <x:c r="I21" s="16"/>
      <x:c r="J21" s="16"/>
      <x:c r="K21" s="18" t="str">
        <x:f>IF(L21="","",'参数'!$B$3+IF(ROW()=3,0,SUM($R$3:INDEX($R:$R,ROW()-1))))</x:f>
      </x:c>
      <x:c r="L21" s="18"/>
      <x:c r="M21" s="19"/>
      <x:c r="N21" s="20" t="str">
        <x:f>IF(OR(L21="",K21=""),"",L21/K21)</x:f>
      </x:c>
      <x:c r="O21" s="18" t="str">
        <x:f>IF(OR(L21="",M21=""),"",L21*M21)</x:f>
      </x:c>
      <x:c r="P21" s="18"/>
      <x:c r="Q21" s="18" t="str">
        <x:f>IF(OR(L21="",P21="",P21="未结算"),"",SWITCH(P21,"赢",L21*M21,"输",0,"走水",L21,"取消",L21,"半赢",L21*(1+(M21-1)/2),"半输",L21*0.5,""))</x:f>
      </x:c>
      <x:c r="R21" s="18" t="str">
        <x:f>IF(Q21="","",Q21-L21)</x:f>
      </x:c>
      <x:c r="S21" s="20" t="str">
        <x:f>IF(OR(L21="",R21=""),"",R21/L21)</x:f>
      </x:c>
      <x:c r="T21" s="18" t="str">
        <x:f>IF(R21="","",'参数'!$B$3+SUM($R$3:R21))</x:f>
      </x:c>
      <x:c r="U21" s="16"/>
      <x:c r="V21" s="16"/>
      <x:c r="W21" s="16"/>
    </x:row>
    <x:row r="22" ht="22.5" customHeight="1">
      <x:c r="A22" s="16" t="str">
        <x:f>IF(C22="","",ROW()-2)</x:f>
      </x:c>
      <x:c r="B22" s="21"/>
      <x:c r="C22" s="16"/>
      <x:c r="D22" s="21"/>
      <x:c r="E22" s="16"/>
      <x:c r="F22" s="16"/>
      <x:c r="G22" s="16"/>
      <x:c r="H22" s="16"/>
      <x:c r="I22" s="16"/>
      <x:c r="J22" s="16"/>
      <x:c r="K22" s="18" t="str">
        <x:f>IF(L22="","",'参数'!$B$3+IF(ROW()=3,0,SUM($R$3:INDEX($R:$R,ROW()-1))))</x:f>
      </x:c>
      <x:c r="L22" s="18"/>
      <x:c r="M22" s="19"/>
      <x:c r="N22" s="20" t="str">
        <x:f>IF(OR(L22="",K22=""),"",L22/K22)</x:f>
      </x:c>
      <x:c r="O22" s="18" t="str">
        <x:f>IF(OR(L22="",M22=""),"",L22*M22)</x:f>
      </x:c>
      <x:c r="P22" s="18"/>
      <x:c r="Q22" s="18" t="str">
        <x:f>IF(OR(L22="",P22="",P22="未结算"),"",SWITCH(P22,"赢",L22*M22,"输",0,"走水",L22,"取消",L22,"半赢",L22*(1+(M22-1)/2),"半输",L22*0.5,""))</x:f>
      </x:c>
      <x:c r="R22" s="18" t="str">
        <x:f>IF(Q22="","",Q22-L22)</x:f>
      </x:c>
      <x:c r="S22" s="20" t="str">
        <x:f>IF(OR(L22="",R22=""),"",R22/L22)</x:f>
      </x:c>
      <x:c r="T22" s="18" t="str">
        <x:f>IF(R22="","",'参数'!$B$3+SUM($R$3:R22))</x:f>
      </x:c>
      <x:c r="U22" s="16"/>
      <x:c r="V22" s="16"/>
      <x:c r="W22" s="16"/>
    </x:row>
    <x:row r="23" ht="22.5" customHeight="1">
      <x:c r="A23" s="16" t="str">
        <x:f>IF(C23="","",ROW()-2)</x:f>
      </x:c>
      <x:c r="B23" s="21"/>
      <x:c r="C23" s="16"/>
      <x:c r="D23" s="21"/>
      <x:c r="E23" s="16"/>
      <x:c r="F23" s="16"/>
      <x:c r="G23" s="16"/>
      <x:c r="H23" s="16"/>
      <x:c r="I23" s="16"/>
      <x:c r="J23" s="16"/>
      <x:c r="K23" s="18" t="str">
        <x:f>IF(L23="","",'参数'!$B$3+IF(ROW()=3,0,SUM($R$3:INDEX($R:$R,ROW()-1))))</x:f>
      </x:c>
      <x:c r="L23" s="18"/>
      <x:c r="M23" s="19"/>
      <x:c r="N23" s="20" t="str">
        <x:f>IF(OR(L23="",K23=""),"",L23/K23)</x:f>
      </x:c>
      <x:c r="O23" s="18" t="str">
        <x:f>IF(OR(L23="",M23=""),"",L23*M23)</x:f>
      </x:c>
      <x:c r="P23" s="18"/>
      <x:c r="Q23" s="18" t="str">
        <x:f>IF(OR(L23="",P23="",P23="未结算"),"",SWITCH(P23,"赢",L23*M23,"输",0,"走水",L23,"取消",L23,"半赢",L23*(1+(M23-1)/2),"半输",L23*0.5,""))</x:f>
      </x:c>
      <x:c r="R23" s="18" t="str">
        <x:f>IF(Q23="","",Q23-L23)</x:f>
      </x:c>
      <x:c r="S23" s="20" t="str">
        <x:f>IF(OR(L23="",R23=""),"",R23/L23)</x:f>
      </x:c>
      <x:c r="T23" s="18" t="str">
        <x:f>IF(R23="","",'参数'!$B$3+SUM($R$3:R23))</x:f>
      </x:c>
      <x:c r="U23" s="16"/>
      <x:c r="V23" s="16"/>
      <x:c r="W23" s="16"/>
    </x:row>
    <x:row r="24" ht="22.5" customHeight="1">
      <x:c r="A24" s="16" t="str">
        <x:f>IF(C24="","",ROW()-2)</x:f>
      </x:c>
      <x:c r="B24" s="21"/>
      <x:c r="C24" s="16"/>
      <x:c r="D24" s="21"/>
      <x:c r="E24" s="16"/>
      <x:c r="F24" s="16"/>
      <x:c r="G24" s="16"/>
      <x:c r="H24" s="16"/>
      <x:c r="I24" s="16"/>
      <x:c r="J24" s="16"/>
      <x:c r="K24" s="18" t="str">
        <x:f>IF(L24="","",'参数'!$B$3+IF(ROW()=3,0,SUM($R$3:INDEX($R:$R,ROW()-1))))</x:f>
      </x:c>
      <x:c r="L24" s="18"/>
      <x:c r="M24" s="19"/>
      <x:c r="N24" s="20" t="str">
        <x:f>IF(OR(L24="",K24=""),"",L24/K24)</x:f>
      </x:c>
      <x:c r="O24" s="18" t="str">
        <x:f>IF(OR(L24="",M24=""),"",L24*M24)</x:f>
      </x:c>
      <x:c r="P24" s="18"/>
      <x:c r="Q24" s="18" t="str">
        <x:f>IF(OR(L24="",P24="",P24="未结算"),"",SWITCH(P24,"赢",L24*M24,"输",0,"走水",L24,"取消",L24,"半赢",L24*(1+(M24-1)/2),"半输",L24*0.5,""))</x:f>
      </x:c>
      <x:c r="R24" s="18" t="str">
        <x:f>IF(Q24="","",Q24-L24)</x:f>
      </x:c>
      <x:c r="S24" s="20" t="str">
        <x:f>IF(OR(L24="",R24=""),"",R24/L24)</x:f>
      </x:c>
      <x:c r="T24" s="18" t="str">
        <x:f>IF(R24="","",'参数'!$B$3+SUM($R$3:R24))</x:f>
      </x:c>
      <x:c r="U24" s="16"/>
      <x:c r="V24" s="16"/>
      <x:c r="W24" s="16"/>
    </x:row>
    <x:row r="25" ht="22.5" customHeight="1">
      <x:c r="A25" s="16" t="str">
        <x:f>IF(C25="","",ROW()-2)</x:f>
      </x:c>
      <x:c r="B25" s="21"/>
      <x:c r="C25" s="16"/>
      <x:c r="D25" s="21"/>
      <x:c r="E25" s="16"/>
      <x:c r="F25" s="16"/>
      <x:c r="G25" s="16"/>
      <x:c r="H25" s="16"/>
      <x:c r="I25" s="16"/>
      <x:c r="J25" s="16"/>
      <x:c r="K25" s="18" t="str">
        <x:f>IF(L25="","",'参数'!$B$3+IF(ROW()=3,0,SUM($R$3:INDEX($R:$R,ROW()-1))))</x:f>
      </x:c>
      <x:c r="L25" s="18"/>
      <x:c r="M25" s="19"/>
      <x:c r="N25" s="20" t="str">
        <x:f>IF(OR(L25="",K25=""),"",L25/K25)</x:f>
      </x:c>
      <x:c r="O25" s="18" t="str">
        <x:f>IF(OR(L25="",M25=""),"",L25*M25)</x:f>
      </x:c>
      <x:c r="P25" s="18"/>
      <x:c r="Q25" s="18" t="str">
        <x:f>IF(OR(L25="",P25="",P25="未结算"),"",SWITCH(P25,"赢",L25*M25,"输",0,"走水",L25,"取消",L25,"半赢",L25*(1+(M25-1)/2),"半输",L25*0.5,""))</x:f>
      </x:c>
      <x:c r="R25" s="18" t="str">
        <x:f>IF(Q25="","",Q25-L25)</x:f>
      </x:c>
      <x:c r="S25" s="20" t="str">
        <x:f>IF(OR(L25="",R25=""),"",R25/L25)</x:f>
      </x:c>
      <x:c r="T25" s="18" t="str">
        <x:f>IF(R25="","",'参数'!$B$3+SUM($R$3:R25))</x:f>
      </x:c>
      <x:c r="U25" s="16"/>
      <x:c r="V25" s="16"/>
      <x:c r="W25" s="16"/>
    </x:row>
    <x:row r="26" ht="22.5" customHeight="1">
      <x:c r="A26" s="16" t="str">
        <x:f>IF(C26="","",ROW()-2)</x:f>
      </x:c>
      <x:c r="B26" s="21"/>
      <x:c r="C26" s="16"/>
      <x:c r="D26" s="21"/>
      <x:c r="E26" s="16"/>
      <x:c r="F26" s="16"/>
      <x:c r="G26" s="16"/>
      <x:c r="H26" s="16"/>
      <x:c r="I26" s="16"/>
      <x:c r="J26" s="16"/>
      <x:c r="K26" s="18" t="str">
        <x:f>IF(L26="","",'参数'!$B$3+IF(ROW()=3,0,SUM($R$3:INDEX($R:$R,ROW()-1))))</x:f>
      </x:c>
      <x:c r="L26" s="18"/>
      <x:c r="M26" s="19"/>
      <x:c r="N26" s="20" t="str">
        <x:f>IF(OR(L26="",K26=""),"",L26/K26)</x:f>
      </x:c>
      <x:c r="O26" s="18" t="str">
        <x:f>IF(OR(L26="",M26=""),"",L26*M26)</x:f>
      </x:c>
      <x:c r="P26" s="18"/>
      <x:c r="Q26" s="18" t="str">
        <x:f>IF(OR(L26="",P26="",P26="未结算"),"",SWITCH(P26,"赢",L26*M26,"输",0,"走水",L26,"取消",L26,"半赢",L26*(1+(M26-1)/2),"半输",L26*0.5,""))</x:f>
      </x:c>
      <x:c r="R26" s="18" t="str">
        <x:f>IF(Q26="","",Q26-L26)</x:f>
      </x:c>
      <x:c r="S26" s="20" t="str">
        <x:f>IF(OR(L26="",R26=""),"",R26/L26)</x:f>
      </x:c>
      <x:c r="T26" s="18" t="str">
        <x:f>IF(R26="","",'参数'!$B$3+SUM($R$3:R26))</x:f>
      </x:c>
      <x:c r="U26" s="16"/>
      <x:c r="V26" s="16"/>
      <x:c r="W26" s="16"/>
    </x:row>
    <x:row r="27" ht="22.5" customHeight="1">
      <x:c r="A27" s="16" t="str">
        <x:f>IF(C27="","",ROW()-2)</x:f>
      </x:c>
      <x:c r="B27" s="21"/>
      <x:c r="C27" s="16"/>
      <x:c r="D27" s="21"/>
      <x:c r="E27" s="16"/>
      <x:c r="F27" s="16"/>
      <x:c r="G27" s="16"/>
      <x:c r="H27" s="16"/>
      <x:c r="I27" s="16"/>
      <x:c r="J27" s="16"/>
      <x:c r="K27" s="18" t="str">
        <x:f>IF(L27="","",'参数'!$B$3+IF(ROW()=3,0,SUM($R$3:INDEX($R:$R,ROW()-1))))</x:f>
      </x:c>
      <x:c r="L27" s="18"/>
      <x:c r="M27" s="19"/>
      <x:c r="N27" s="20" t="str">
        <x:f>IF(OR(L27="",K27=""),"",L27/K27)</x:f>
      </x:c>
      <x:c r="O27" s="18" t="str">
        <x:f>IF(OR(L27="",M27=""),"",L27*M27)</x:f>
      </x:c>
      <x:c r="P27" s="18"/>
      <x:c r="Q27" s="18" t="str">
        <x:f>IF(OR(L27="",P27="",P27="未结算"),"",SWITCH(P27,"赢",L27*M27,"输",0,"走水",L27,"取消",L27,"半赢",L27*(1+(M27-1)/2),"半输",L27*0.5,""))</x:f>
      </x:c>
      <x:c r="R27" s="18" t="str">
        <x:f>IF(Q27="","",Q27-L27)</x:f>
      </x:c>
      <x:c r="S27" s="20" t="str">
        <x:f>IF(OR(L27="",R27=""),"",R27/L27)</x:f>
      </x:c>
      <x:c r="T27" s="18" t="str">
        <x:f>IF(R27="","",'参数'!$B$3+SUM($R$3:R27))</x:f>
      </x:c>
      <x:c r="U27" s="16"/>
      <x:c r="V27" s="16"/>
      <x:c r="W27" s="16"/>
    </x:row>
    <x:row r="28" ht="22.5" customHeight="1">
      <x:c r="A28" s="16" t="str">
        <x:f>IF(C28="","",ROW()-2)</x:f>
      </x:c>
      <x:c r="B28" s="21"/>
      <x:c r="C28" s="16"/>
      <x:c r="D28" s="21"/>
      <x:c r="E28" s="16"/>
      <x:c r="F28" s="16"/>
      <x:c r="G28" s="16"/>
      <x:c r="H28" s="16"/>
      <x:c r="I28" s="16"/>
      <x:c r="J28" s="16"/>
      <x:c r="K28" s="18" t="str">
        <x:f>IF(L28="","",'参数'!$B$3+IF(ROW()=3,0,SUM($R$3:INDEX($R:$R,ROW()-1))))</x:f>
      </x:c>
      <x:c r="L28" s="18"/>
      <x:c r="M28" s="19"/>
      <x:c r="N28" s="20" t="str">
        <x:f>IF(OR(L28="",K28=""),"",L28/K28)</x:f>
      </x:c>
      <x:c r="O28" s="18" t="str">
        <x:f>IF(OR(L28="",M28=""),"",L28*M28)</x:f>
      </x:c>
      <x:c r="P28" s="18"/>
      <x:c r="Q28" s="18" t="str">
        <x:f>IF(OR(L28="",P28="",P28="未结算"),"",SWITCH(P28,"赢",L28*M28,"输",0,"走水",L28,"取消",L28,"半赢",L28*(1+(M28-1)/2),"半输",L28*0.5,""))</x:f>
      </x:c>
      <x:c r="R28" s="18" t="str">
        <x:f>IF(Q28="","",Q28-L28)</x:f>
      </x:c>
      <x:c r="S28" s="20" t="str">
        <x:f>IF(OR(L28="",R28=""),"",R28/L28)</x:f>
      </x:c>
      <x:c r="T28" s="18" t="str">
        <x:f>IF(R28="","",'参数'!$B$3+SUM($R$3:R28))</x:f>
      </x:c>
      <x:c r="U28" s="16"/>
      <x:c r="V28" s="16"/>
      <x:c r="W28" s="16"/>
    </x:row>
    <x:row r="29" ht="22.5" customHeight="1">
      <x:c r="A29" s="16" t="str">
        <x:f>IF(C29="","",ROW()-2)</x:f>
      </x:c>
      <x:c r="B29" s="21"/>
      <x:c r="C29" s="16"/>
      <x:c r="D29" s="21"/>
      <x:c r="E29" s="16"/>
      <x:c r="F29" s="16"/>
      <x:c r="G29" s="16"/>
      <x:c r="H29" s="16"/>
      <x:c r="I29" s="16"/>
      <x:c r="J29" s="16"/>
      <x:c r="K29" s="18" t="str">
        <x:f>IF(L29="","",'参数'!$B$3+IF(ROW()=3,0,SUM($R$3:INDEX($R:$R,ROW()-1))))</x:f>
      </x:c>
      <x:c r="L29" s="18"/>
      <x:c r="M29" s="19"/>
      <x:c r="N29" s="20" t="str">
        <x:f>IF(OR(L29="",K29=""),"",L29/K29)</x:f>
      </x:c>
      <x:c r="O29" s="18" t="str">
        <x:f>IF(OR(L29="",M29=""),"",L29*M29)</x:f>
      </x:c>
      <x:c r="P29" s="18"/>
      <x:c r="Q29" s="18" t="str">
        <x:f>IF(OR(L29="",P29="",P29="未结算"),"",SWITCH(P29,"赢",L29*M29,"输",0,"走水",L29,"取消",L29,"半赢",L29*(1+(M29-1)/2),"半输",L29*0.5,""))</x:f>
      </x:c>
      <x:c r="R29" s="18" t="str">
        <x:f>IF(Q29="","",Q29-L29)</x:f>
      </x:c>
      <x:c r="S29" s="20" t="str">
        <x:f>IF(OR(L29="",R29=""),"",R29/L29)</x:f>
      </x:c>
      <x:c r="T29" s="18" t="str">
        <x:f>IF(R29="","",'参数'!$B$3+SUM($R$3:R29))</x:f>
      </x:c>
      <x:c r="U29" s="16"/>
      <x:c r="V29" s="16"/>
      <x:c r="W29" s="16"/>
    </x:row>
    <x:row r="30" ht="22.5" customHeight="1">
      <x:c r="A30" s="16" t="str">
        <x:f>IF(C30="","",ROW()-2)</x:f>
      </x:c>
      <x:c r="B30" s="21"/>
      <x:c r="C30" s="16"/>
      <x:c r="D30" s="21"/>
      <x:c r="E30" s="16"/>
      <x:c r="F30" s="16"/>
      <x:c r="G30" s="16"/>
      <x:c r="H30" s="16"/>
      <x:c r="I30" s="16"/>
      <x:c r="J30" s="16"/>
      <x:c r="K30" s="18" t="str">
        <x:f>IF(L30="","",'参数'!$B$3+IF(ROW()=3,0,SUM($R$3:INDEX($R:$R,ROW()-1))))</x:f>
      </x:c>
      <x:c r="L30" s="18"/>
      <x:c r="M30" s="19"/>
      <x:c r="N30" s="20" t="str">
        <x:f>IF(OR(L30="",K30=""),"",L30/K30)</x:f>
      </x:c>
      <x:c r="O30" s="18" t="str">
        <x:f>IF(OR(L30="",M30=""),"",L30*M30)</x:f>
      </x:c>
      <x:c r="P30" s="18"/>
      <x:c r="Q30" s="18" t="str">
        <x:f>IF(OR(L30="",P30="",P30="未结算"),"",SWITCH(P30,"赢",L30*M30,"输",0,"走水",L30,"取消",L30,"半赢",L30*(1+(M30-1)/2),"半输",L30*0.5,""))</x:f>
      </x:c>
      <x:c r="R30" s="18" t="str">
        <x:f>IF(Q30="","",Q30-L30)</x:f>
      </x:c>
      <x:c r="S30" s="20" t="str">
        <x:f>IF(OR(L30="",R30=""),"",R30/L30)</x:f>
      </x:c>
      <x:c r="T30" s="18" t="str">
        <x:f>IF(R30="","",'参数'!$B$3+SUM($R$3:R30))</x:f>
      </x:c>
      <x:c r="U30" s="16"/>
      <x:c r="V30" s="16"/>
      <x:c r="W30" s="16"/>
    </x:row>
    <x:row r="31" ht="22.5" customHeight="1">
      <x:c r="A31" s="16" t="str">
        <x:f>IF(C31="","",ROW()-2)</x:f>
      </x:c>
      <x:c r="B31" s="21"/>
      <x:c r="C31" s="16"/>
      <x:c r="D31" s="21"/>
      <x:c r="E31" s="16"/>
      <x:c r="F31" s="16"/>
      <x:c r="G31" s="16"/>
      <x:c r="H31" s="16"/>
      <x:c r="I31" s="16"/>
      <x:c r="J31" s="16"/>
      <x:c r="K31" s="18" t="str">
        <x:f>IF(L31="","",'参数'!$B$3+IF(ROW()=3,0,SUM($R$3:INDEX($R:$R,ROW()-1))))</x:f>
      </x:c>
      <x:c r="L31" s="18"/>
      <x:c r="M31" s="19"/>
      <x:c r="N31" s="20" t="str">
        <x:f>IF(OR(L31="",K31=""),"",L31/K31)</x:f>
      </x:c>
      <x:c r="O31" s="18" t="str">
        <x:f>IF(OR(L31="",M31=""),"",L31*M31)</x:f>
      </x:c>
      <x:c r="P31" s="18"/>
      <x:c r="Q31" s="18" t="str">
        <x:f>IF(OR(L31="",P31="",P31="未结算"),"",SWITCH(P31,"赢",L31*M31,"输",0,"走水",L31,"取消",L31,"半赢",L31*(1+(M31-1)/2),"半输",L31*0.5,""))</x:f>
      </x:c>
      <x:c r="R31" s="18" t="str">
        <x:f>IF(Q31="","",Q31-L31)</x:f>
      </x:c>
      <x:c r="S31" s="20" t="str">
        <x:f>IF(OR(L31="",R31=""),"",R31/L31)</x:f>
      </x:c>
      <x:c r="T31" s="18" t="str">
        <x:f>IF(R31="","",'参数'!$B$3+SUM($R$3:R31))</x:f>
      </x:c>
      <x:c r="U31" s="16"/>
      <x:c r="V31" s="16"/>
      <x:c r="W31" s="16"/>
    </x:row>
    <x:row r="32" ht="22.5" customHeight="1">
      <x:c r="A32" s="16" t="str">
        <x:f>IF(C32="","",ROW()-2)</x:f>
      </x:c>
      <x:c r="B32" s="21"/>
      <x:c r="C32" s="16"/>
      <x:c r="D32" s="21"/>
      <x:c r="E32" s="16"/>
      <x:c r="F32" s="16"/>
      <x:c r="G32" s="16"/>
      <x:c r="H32" s="16"/>
      <x:c r="I32" s="16"/>
      <x:c r="J32" s="16"/>
      <x:c r="K32" s="18" t="str">
        <x:f>IF(L32="","",'参数'!$B$3+IF(ROW()=3,0,SUM($R$3:INDEX($R:$R,ROW()-1))))</x:f>
      </x:c>
      <x:c r="L32" s="18"/>
      <x:c r="M32" s="19"/>
      <x:c r="N32" s="20" t="str">
        <x:f>IF(OR(L32="",K32=""),"",L32/K32)</x:f>
      </x:c>
      <x:c r="O32" s="18" t="str">
        <x:f>IF(OR(L32="",M32=""),"",L32*M32)</x:f>
      </x:c>
      <x:c r="P32" s="18"/>
      <x:c r="Q32" s="18" t="str">
        <x:f>IF(OR(L32="",P32="",P32="未结算"),"",SWITCH(P32,"赢",L32*M32,"输",0,"走水",L32,"取消",L32,"半赢",L32*(1+(M32-1)/2),"半输",L32*0.5,""))</x:f>
      </x:c>
      <x:c r="R32" s="18" t="str">
        <x:f>IF(Q32="","",Q32-L32)</x:f>
      </x:c>
      <x:c r="S32" s="20" t="str">
        <x:f>IF(OR(L32="",R32=""),"",R32/L32)</x:f>
      </x:c>
      <x:c r="T32" s="18" t="str">
        <x:f>IF(R32="","",'参数'!$B$3+SUM($R$3:R32))</x:f>
      </x:c>
      <x:c r="U32" s="16"/>
      <x:c r="V32" s="16"/>
      <x:c r="W32" s="16"/>
    </x:row>
    <x:row r="33" ht="22.5" customHeight="1">
      <x:c r="A33" s="16" t="str">
        <x:f>IF(C33="","",ROW()-2)</x:f>
      </x:c>
      <x:c r="B33" s="21"/>
      <x:c r="C33" s="16"/>
      <x:c r="D33" s="21"/>
      <x:c r="E33" s="16"/>
      <x:c r="F33" s="16"/>
      <x:c r="G33" s="16"/>
      <x:c r="H33" s="16"/>
      <x:c r="I33" s="16"/>
      <x:c r="J33" s="16"/>
      <x:c r="K33" s="18" t="str">
        <x:f>IF(L33="","",'参数'!$B$3+IF(ROW()=3,0,SUM($R$3:INDEX($R:$R,ROW()-1))))</x:f>
      </x:c>
      <x:c r="L33" s="18"/>
      <x:c r="M33" s="19"/>
      <x:c r="N33" s="20" t="str">
        <x:f>IF(OR(L33="",K33=""),"",L33/K33)</x:f>
      </x:c>
      <x:c r="O33" s="18" t="str">
        <x:f>IF(OR(L33="",M33=""),"",L33*M33)</x:f>
      </x:c>
      <x:c r="P33" s="18"/>
      <x:c r="Q33" s="18" t="str">
        <x:f>IF(OR(L33="",P33="",P33="未结算"),"",SWITCH(P33,"赢",L33*M33,"输",0,"走水",L33,"取消",L33,"半赢",L33*(1+(M33-1)/2),"半输",L33*0.5,""))</x:f>
      </x:c>
      <x:c r="R33" s="18" t="str">
        <x:f>IF(Q33="","",Q33-L33)</x:f>
      </x:c>
      <x:c r="S33" s="20" t="str">
        <x:f>IF(OR(L33="",R33=""),"",R33/L33)</x:f>
      </x:c>
      <x:c r="T33" s="18" t="str">
        <x:f>IF(R33="","",'参数'!$B$3+SUM($R$3:R33))</x:f>
      </x:c>
      <x:c r="U33" s="16"/>
      <x:c r="V33" s="16"/>
      <x:c r="W33" s="16"/>
    </x:row>
    <x:row r="34" ht="22.5" customHeight="1">
      <x:c r="A34" s="16" t="str">
        <x:f>IF(C34="","",ROW()-2)</x:f>
      </x:c>
      <x:c r="B34" s="21"/>
      <x:c r="C34" s="16"/>
      <x:c r="D34" s="21"/>
      <x:c r="E34" s="16"/>
      <x:c r="F34" s="16"/>
      <x:c r="G34" s="16"/>
      <x:c r="H34" s="16"/>
      <x:c r="I34" s="16"/>
      <x:c r="J34" s="16"/>
      <x:c r="K34" s="18" t="str">
        <x:f>IF(L34="","",'参数'!$B$3+IF(ROW()=3,0,SUM($R$3:INDEX($R:$R,ROW()-1))))</x:f>
      </x:c>
      <x:c r="L34" s="18"/>
      <x:c r="M34" s="19"/>
      <x:c r="N34" s="20" t="str">
        <x:f>IF(OR(L34="",K34=""),"",L34/K34)</x:f>
      </x:c>
      <x:c r="O34" s="18" t="str">
        <x:f>IF(OR(L34="",M34=""),"",L34*M34)</x:f>
      </x:c>
      <x:c r="P34" s="18"/>
      <x:c r="Q34" s="18" t="str">
        <x:f>IF(OR(L34="",P34="",P34="未结算"),"",SWITCH(P34,"赢",L34*M34,"输",0,"走水",L34,"取消",L34,"半赢",L34*(1+(M34-1)/2),"半输",L34*0.5,""))</x:f>
      </x:c>
      <x:c r="R34" s="18" t="str">
        <x:f>IF(Q34="","",Q34-L34)</x:f>
      </x:c>
      <x:c r="S34" s="20" t="str">
        <x:f>IF(OR(L34="",R34=""),"",R34/L34)</x:f>
      </x:c>
      <x:c r="T34" s="18" t="str">
        <x:f>IF(R34="","",'参数'!$B$3+SUM($R$3:R34))</x:f>
      </x:c>
      <x:c r="U34" s="16"/>
      <x:c r="V34" s="16"/>
      <x:c r="W34" s="16"/>
    </x:row>
    <x:row r="35" ht="22.5" customHeight="1">
      <x:c r="A35" s="16" t="str">
        <x:f>IF(C35="","",ROW()-2)</x:f>
      </x:c>
      <x:c r="B35" s="21"/>
      <x:c r="C35" s="16"/>
      <x:c r="D35" s="21"/>
      <x:c r="E35" s="16"/>
      <x:c r="F35" s="16"/>
      <x:c r="G35" s="16"/>
      <x:c r="H35" s="16"/>
      <x:c r="I35" s="16"/>
      <x:c r="J35" s="16"/>
      <x:c r="K35" s="18" t="str">
        <x:f>IF(L35="","",'参数'!$B$3+IF(ROW()=3,0,SUM($R$3:INDEX($R:$R,ROW()-1))))</x:f>
      </x:c>
      <x:c r="L35" s="18"/>
      <x:c r="M35" s="19"/>
      <x:c r="N35" s="20" t="str">
        <x:f>IF(OR(L35="",K35=""),"",L35/K35)</x:f>
      </x:c>
      <x:c r="O35" s="18" t="str">
        <x:f>IF(OR(L35="",M35=""),"",L35*M35)</x:f>
      </x:c>
      <x:c r="P35" s="18"/>
      <x:c r="Q35" s="18" t="str">
        <x:f>IF(OR(L35="",P35="",P35="未结算"),"",SWITCH(P35,"赢",L35*M35,"输",0,"走水",L35,"取消",L35,"半赢",L35*(1+(M35-1)/2),"半输",L35*0.5,""))</x:f>
      </x:c>
      <x:c r="R35" s="18" t="str">
        <x:f>IF(Q35="","",Q35-L35)</x:f>
      </x:c>
      <x:c r="S35" s="20" t="str">
        <x:f>IF(OR(L35="",R35=""),"",R35/L35)</x:f>
      </x:c>
      <x:c r="T35" s="18" t="str">
        <x:f>IF(R35="","",'参数'!$B$3+SUM($R$3:R35))</x:f>
      </x:c>
      <x:c r="U35" s="16"/>
      <x:c r="V35" s="16"/>
      <x:c r="W35" s="16"/>
    </x:row>
    <x:row r="36" ht="22.5" customHeight="1">
      <x:c r="A36" s="16" t="str">
        <x:f>IF(C36="","",ROW()-2)</x:f>
      </x:c>
      <x:c r="B36" s="21"/>
      <x:c r="C36" s="16"/>
      <x:c r="D36" s="21"/>
      <x:c r="E36" s="16"/>
      <x:c r="F36" s="16"/>
      <x:c r="G36" s="16"/>
      <x:c r="H36" s="16"/>
      <x:c r="I36" s="16"/>
      <x:c r="J36" s="16"/>
      <x:c r="K36" s="18" t="str">
        <x:f>IF(L36="","",'参数'!$B$3+IF(ROW()=3,0,SUM($R$3:INDEX($R:$R,ROW()-1))))</x:f>
      </x:c>
      <x:c r="L36" s="18"/>
      <x:c r="M36" s="19"/>
      <x:c r="N36" s="20" t="str">
        <x:f>IF(OR(L36="",K36=""),"",L36/K36)</x:f>
      </x:c>
      <x:c r="O36" s="18" t="str">
        <x:f>IF(OR(L36="",M36=""),"",L36*M36)</x:f>
      </x:c>
      <x:c r="P36" s="18"/>
      <x:c r="Q36" s="18" t="str">
        <x:f>IF(OR(L36="",P36="",P36="未结算"),"",SWITCH(P36,"赢",L36*M36,"输",0,"走水",L36,"取消",L36,"半赢",L36*(1+(M36-1)/2),"半输",L36*0.5,""))</x:f>
      </x:c>
      <x:c r="R36" s="18" t="str">
        <x:f>IF(Q36="","",Q36-L36)</x:f>
      </x:c>
      <x:c r="S36" s="20" t="str">
        <x:f>IF(OR(L36="",R36=""),"",R36/L36)</x:f>
      </x:c>
      <x:c r="T36" s="18" t="str">
        <x:f>IF(R36="","",'参数'!$B$3+SUM($R$3:R36))</x:f>
      </x:c>
      <x:c r="U36" s="16"/>
      <x:c r="V36" s="16"/>
      <x:c r="W36" s="16"/>
    </x:row>
    <x:row r="37" ht="22.5" customHeight="1">
      <x:c r="A37" s="16" t="str">
        <x:f>IF(C37="","",ROW()-2)</x:f>
      </x:c>
      <x:c r="B37" s="21"/>
      <x:c r="C37" s="16"/>
      <x:c r="D37" s="21"/>
      <x:c r="E37" s="16"/>
      <x:c r="F37" s="16"/>
      <x:c r="G37" s="16"/>
      <x:c r="H37" s="16"/>
      <x:c r="I37" s="16"/>
      <x:c r="J37" s="16"/>
      <x:c r="K37" s="18" t="str">
        <x:f>IF(L37="","",'参数'!$B$3+IF(ROW()=3,0,SUM($R$3:INDEX($R:$R,ROW()-1))))</x:f>
      </x:c>
      <x:c r="L37" s="18"/>
      <x:c r="M37" s="19"/>
      <x:c r="N37" s="20" t="str">
        <x:f>IF(OR(L37="",K37=""),"",L37/K37)</x:f>
      </x:c>
      <x:c r="O37" s="18" t="str">
        <x:f>IF(OR(L37="",M37=""),"",L37*M37)</x:f>
      </x:c>
      <x:c r="P37" s="18"/>
      <x:c r="Q37" s="18" t="str">
        <x:f>IF(OR(L37="",P37="",P37="未结算"),"",SWITCH(P37,"赢",L37*M37,"输",0,"走水",L37,"取消",L37,"半赢",L37*(1+(M37-1)/2),"半输",L37*0.5,""))</x:f>
      </x:c>
      <x:c r="R37" s="18" t="str">
        <x:f>IF(Q37="","",Q37-L37)</x:f>
      </x:c>
      <x:c r="S37" s="20" t="str">
        <x:f>IF(OR(L37="",R37=""),"",R37/L37)</x:f>
      </x:c>
      <x:c r="T37" s="18" t="str">
        <x:f>IF(R37="","",'参数'!$B$3+SUM($R$3:R37))</x:f>
      </x:c>
      <x:c r="U37" s="16"/>
      <x:c r="V37" s="16"/>
      <x:c r="W37" s="16"/>
    </x:row>
    <x:row r="38" ht="22.5" customHeight="1">
      <x:c r="A38" s="16" t="str">
        <x:f>IF(C38="","",ROW()-2)</x:f>
      </x:c>
      <x:c r="B38" s="21"/>
      <x:c r="C38" s="16"/>
      <x:c r="D38" s="21"/>
      <x:c r="E38" s="16"/>
      <x:c r="F38" s="16"/>
      <x:c r="G38" s="16"/>
      <x:c r="H38" s="16"/>
      <x:c r="I38" s="16"/>
      <x:c r="J38" s="16"/>
      <x:c r="K38" s="18" t="str">
        <x:f>IF(L38="","",'参数'!$B$3+IF(ROW()=3,0,SUM($R$3:INDEX($R:$R,ROW()-1))))</x:f>
      </x:c>
      <x:c r="L38" s="18"/>
      <x:c r="M38" s="19"/>
      <x:c r="N38" s="20" t="str">
        <x:f>IF(OR(L38="",K38=""),"",L38/K38)</x:f>
      </x:c>
      <x:c r="O38" s="18" t="str">
        <x:f>IF(OR(L38="",M38=""),"",L38*M38)</x:f>
      </x:c>
      <x:c r="P38" s="18"/>
      <x:c r="Q38" s="18" t="str">
        <x:f>IF(OR(L38="",P38="",P38="未结算"),"",SWITCH(P38,"赢",L38*M38,"输",0,"走水",L38,"取消",L38,"半赢",L38*(1+(M38-1)/2),"半输",L38*0.5,""))</x:f>
      </x:c>
      <x:c r="R38" s="18" t="str">
        <x:f>IF(Q38="","",Q38-L38)</x:f>
      </x:c>
      <x:c r="S38" s="20" t="str">
        <x:f>IF(OR(L38="",R38=""),"",R38/L38)</x:f>
      </x:c>
      <x:c r="T38" s="18" t="str">
        <x:f>IF(R38="","",'参数'!$B$3+SUM($R$3:R38))</x:f>
      </x:c>
      <x:c r="U38" s="16"/>
      <x:c r="V38" s="16"/>
      <x:c r="W38" s="16"/>
    </x:row>
    <x:row r="39" ht="22.5" customHeight="1">
      <x:c r="A39" s="16" t="str">
        <x:f>IF(C39="","",ROW()-2)</x:f>
      </x:c>
      <x:c r="B39" s="21"/>
      <x:c r="C39" s="16"/>
      <x:c r="D39" s="21"/>
      <x:c r="E39" s="16"/>
      <x:c r="F39" s="16"/>
      <x:c r="G39" s="16"/>
      <x:c r="H39" s="16"/>
      <x:c r="I39" s="16"/>
      <x:c r="J39" s="16"/>
      <x:c r="K39" s="18" t="str">
        <x:f>IF(L39="","",'参数'!$B$3+IF(ROW()=3,0,SUM($R$3:INDEX($R:$R,ROW()-1))))</x:f>
      </x:c>
      <x:c r="L39" s="18"/>
      <x:c r="M39" s="19"/>
      <x:c r="N39" s="20" t="str">
        <x:f>IF(OR(L39="",K39=""),"",L39/K39)</x:f>
      </x:c>
      <x:c r="O39" s="18" t="str">
        <x:f>IF(OR(L39="",M39=""),"",L39*M39)</x:f>
      </x:c>
      <x:c r="P39" s="18"/>
      <x:c r="Q39" s="18" t="str">
        <x:f>IF(OR(L39="",P39="",P39="未结算"),"",SWITCH(P39,"赢",L39*M39,"输",0,"走水",L39,"取消",L39,"半赢",L39*(1+(M39-1)/2),"半输",L39*0.5,""))</x:f>
      </x:c>
      <x:c r="R39" s="18" t="str">
        <x:f>IF(Q39="","",Q39-L39)</x:f>
      </x:c>
      <x:c r="S39" s="20" t="str">
        <x:f>IF(OR(L39="",R39=""),"",R39/L39)</x:f>
      </x:c>
      <x:c r="T39" s="18" t="str">
        <x:f>IF(R39="","",'参数'!$B$3+SUM($R$3:R39))</x:f>
      </x:c>
      <x:c r="U39" s="16"/>
      <x:c r="V39" s="16"/>
      <x:c r="W39" s="16"/>
    </x:row>
    <x:row r="40" ht="22.5" customHeight="1">
      <x:c r="A40" s="16" t="str">
        <x:f>IF(C40="","",ROW()-2)</x:f>
      </x:c>
      <x:c r="B40" s="21"/>
      <x:c r="C40" s="16"/>
      <x:c r="D40" s="21"/>
      <x:c r="E40" s="16"/>
      <x:c r="F40" s="16"/>
      <x:c r="G40" s="16"/>
      <x:c r="H40" s="16"/>
      <x:c r="I40" s="16"/>
      <x:c r="J40" s="16"/>
      <x:c r="K40" s="18" t="str">
        <x:f>IF(L40="","",'参数'!$B$3+IF(ROW()=3,0,SUM($R$3:INDEX($R:$R,ROW()-1))))</x:f>
      </x:c>
      <x:c r="L40" s="18"/>
      <x:c r="M40" s="19"/>
      <x:c r="N40" s="20" t="str">
        <x:f>IF(OR(L40="",K40=""),"",L40/K40)</x:f>
      </x:c>
      <x:c r="O40" s="18" t="str">
        <x:f>IF(OR(L40="",M40=""),"",L40*M40)</x:f>
      </x:c>
      <x:c r="P40" s="18"/>
      <x:c r="Q40" s="18" t="str">
        <x:f>IF(OR(L40="",P40="",P40="未结算"),"",SWITCH(P40,"赢",L40*M40,"输",0,"走水",L40,"取消",L40,"半赢",L40*(1+(M40-1)/2),"半输",L40*0.5,""))</x:f>
      </x:c>
      <x:c r="R40" s="18" t="str">
        <x:f>IF(Q40="","",Q40-L40)</x:f>
      </x:c>
      <x:c r="S40" s="20" t="str">
        <x:f>IF(OR(L40="",R40=""),"",R40/L40)</x:f>
      </x:c>
      <x:c r="T40" s="18" t="str">
        <x:f>IF(R40="","",'参数'!$B$3+SUM($R$3:R40))</x:f>
      </x:c>
      <x:c r="U40" s="16"/>
      <x:c r="V40" s="16"/>
      <x:c r="W40" s="16"/>
    </x:row>
    <x:row r="41" ht="22.5" customHeight="1">
      <x:c r="A41" s="16" t="str">
        <x:f>IF(C41="","",ROW()-2)</x:f>
      </x:c>
      <x:c r="B41" s="21"/>
      <x:c r="C41" s="16"/>
      <x:c r="D41" s="21"/>
      <x:c r="E41" s="16"/>
      <x:c r="F41" s="16"/>
      <x:c r="G41" s="16"/>
      <x:c r="H41" s="16"/>
      <x:c r="I41" s="16"/>
      <x:c r="J41" s="16"/>
      <x:c r="K41" s="18" t="str">
        <x:f>IF(L41="","",'参数'!$B$3+IF(ROW()=3,0,SUM($R$3:INDEX($R:$R,ROW()-1))))</x:f>
      </x:c>
      <x:c r="L41" s="18"/>
      <x:c r="M41" s="19"/>
      <x:c r="N41" s="20" t="str">
        <x:f>IF(OR(L41="",K41=""),"",L41/K41)</x:f>
      </x:c>
      <x:c r="O41" s="18" t="str">
        <x:f>IF(OR(L41="",M41=""),"",L41*M41)</x:f>
      </x:c>
      <x:c r="P41" s="18"/>
      <x:c r="Q41" s="18" t="str">
        <x:f>IF(OR(L41="",P41="",P41="未结算"),"",SWITCH(P41,"赢",L41*M41,"输",0,"走水",L41,"取消",L41,"半赢",L41*(1+(M41-1)/2),"半输",L41*0.5,""))</x:f>
      </x:c>
      <x:c r="R41" s="18" t="str">
        <x:f>IF(Q41="","",Q41-L41)</x:f>
      </x:c>
      <x:c r="S41" s="20" t="str">
        <x:f>IF(OR(L41="",R41=""),"",R41/L41)</x:f>
      </x:c>
      <x:c r="T41" s="18" t="str">
        <x:f>IF(R41="","",'参数'!$B$3+SUM($R$3:R41))</x:f>
      </x:c>
      <x:c r="U41" s="16"/>
      <x:c r="V41" s="16"/>
      <x:c r="W41" s="16"/>
    </x:row>
    <x:row r="42" ht="22.5" customHeight="1">
      <x:c r="A42" s="16" t="str">
        <x:f>IF(C42="","",ROW()-2)</x:f>
      </x:c>
      <x:c r="B42" s="21"/>
      <x:c r="C42" s="16"/>
      <x:c r="D42" s="21"/>
      <x:c r="E42" s="16"/>
      <x:c r="F42" s="16"/>
      <x:c r="G42" s="16"/>
      <x:c r="H42" s="16"/>
      <x:c r="I42" s="16"/>
      <x:c r="J42" s="16"/>
      <x:c r="K42" s="18" t="str">
        <x:f>IF(L42="","",'参数'!$B$3+IF(ROW()=3,0,SUM($R$3:INDEX($R:$R,ROW()-1))))</x:f>
      </x:c>
      <x:c r="L42" s="18"/>
      <x:c r="M42" s="19"/>
      <x:c r="N42" s="20" t="str">
        <x:f>IF(OR(L42="",K42=""),"",L42/K42)</x:f>
      </x:c>
      <x:c r="O42" s="18" t="str">
        <x:f>IF(OR(L42="",M42=""),"",L42*M42)</x:f>
      </x:c>
      <x:c r="P42" s="18"/>
      <x:c r="Q42" s="18" t="str">
        <x:f>IF(OR(L42="",P42="",P42="未结算"),"",SWITCH(P42,"赢",L42*M42,"输",0,"走水",L42,"取消",L42,"半赢",L42*(1+(M42-1)/2),"半输",L42*0.5,""))</x:f>
      </x:c>
      <x:c r="R42" s="18" t="str">
        <x:f>IF(Q42="","",Q42-L42)</x:f>
      </x:c>
      <x:c r="S42" s="20" t="str">
        <x:f>IF(OR(L42="",R42=""),"",R42/L42)</x:f>
      </x:c>
      <x:c r="T42" s="18" t="str">
        <x:f>IF(R42="","",'参数'!$B$3+SUM($R$3:R42))</x:f>
      </x:c>
      <x:c r="U42" s="16"/>
      <x:c r="V42" s="16"/>
      <x:c r="W42" s="16"/>
    </x:row>
    <x:row r="43" ht="22.5" customHeight="1">
      <x:c r="A43" s="16" t="str">
        <x:f>IF(C43="","",ROW()-2)</x:f>
      </x:c>
      <x:c r="B43" s="21"/>
      <x:c r="C43" s="16"/>
      <x:c r="D43" s="21"/>
      <x:c r="E43" s="16"/>
      <x:c r="F43" s="16"/>
      <x:c r="G43" s="16"/>
      <x:c r="H43" s="16"/>
      <x:c r="I43" s="16"/>
      <x:c r="J43" s="16"/>
      <x:c r="K43" s="18" t="str">
        <x:f>IF(L43="","",'参数'!$B$3+IF(ROW()=3,0,SUM($R$3:INDEX($R:$R,ROW()-1))))</x:f>
      </x:c>
      <x:c r="L43" s="18"/>
      <x:c r="M43" s="19"/>
      <x:c r="N43" s="20" t="str">
        <x:f>IF(OR(L43="",K43=""),"",L43/K43)</x:f>
      </x:c>
      <x:c r="O43" s="18" t="str">
        <x:f>IF(OR(L43="",M43=""),"",L43*M43)</x:f>
      </x:c>
      <x:c r="P43" s="18"/>
      <x:c r="Q43" s="18" t="str">
        <x:f>IF(OR(L43="",P43="",P43="未结算"),"",SWITCH(P43,"赢",L43*M43,"输",0,"走水",L43,"取消",L43,"半赢",L43*(1+(M43-1)/2),"半输",L43*0.5,""))</x:f>
      </x:c>
      <x:c r="R43" s="18" t="str">
        <x:f>IF(Q43="","",Q43-L43)</x:f>
      </x:c>
      <x:c r="S43" s="20" t="str">
        <x:f>IF(OR(L43="",R43=""),"",R43/L43)</x:f>
      </x:c>
      <x:c r="T43" s="18" t="str">
        <x:f>IF(R43="","",'参数'!$B$3+SUM($R$3:R43))</x:f>
      </x:c>
      <x:c r="U43" s="16"/>
      <x:c r="V43" s="16"/>
      <x:c r="W43" s="16"/>
    </x:row>
    <x:row r="44" ht="22.5" customHeight="1">
      <x:c r="A44" s="16" t="str">
        <x:f>IF(C44="","",ROW()-2)</x:f>
      </x:c>
      <x:c r="B44" s="21"/>
      <x:c r="C44" s="16"/>
      <x:c r="D44" s="21"/>
      <x:c r="E44" s="16"/>
      <x:c r="F44" s="16"/>
      <x:c r="G44" s="16"/>
      <x:c r="H44" s="16"/>
      <x:c r="I44" s="16"/>
      <x:c r="J44" s="16"/>
      <x:c r="K44" s="18" t="str">
        <x:f>IF(L44="","",'参数'!$B$3+IF(ROW()=3,0,SUM($R$3:INDEX($R:$R,ROW()-1))))</x:f>
      </x:c>
      <x:c r="L44" s="18"/>
      <x:c r="M44" s="19"/>
      <x:c r="N44" s="20" t="str">
        <x:f>IF(OR(L44="",K44=""),"",L44/K44)</x:f>
      </x:c>
      <x:c r="O44" s="18" t="str">
        <x:f>IF(OR(L44="",M44=""),"",L44*M44)</x:f>
      </x:c>
      <x:c r="P44" s="18"/>
      <x:c r="Q44" s="18" t="str">
        <x:f>IF(OR(L44="",P44="",P44="未结算"),"",SWITCH(P44,"赢",L44*M44,"输",0,"走水",L44,"取消",L44,"半赢",L44*(1+(M44-1)/2),"半输",L44*0.5,""))</x:f>
      </x:c>
      <x:c r="R44" s="18" t="str">
        <x:f>IF(Q44="","",Q44-L44)</x:f>
      </x:c>
      <x:c r="S44" s="20" t="str">
        <x:f>IF(OR(L44="",R44=""),"",R44/L44)</x:f>
      </x:c>
      <x:c r="T44" s="18" t="str">
        <x:f>IF(R44="","",'参数'!$B$3+SUM($R$3:R44))</x:f>
      </x:c>
      <x:c r="U44" s="16"/>
      <x:c r="V44" s="16"/>
      <x:c r="W44" s="16"/>
    </x:row>
    <x:row r="45" ht="22.5" customHeight="1">
      <x:c r="A45" s="16" t="str">
        <x:f>IF(C45="","",ROW()-2)</x:f>
      </x:c>
      <x:c r="B45" s="21"/>
      <x:c r="C45" s="16"/>
      <x:c r="D45" s="21"/>
      <x:c r="E45" s="16"/>
      <x:c r="F45" s="16"/>
      <x:c r="G45" s="16"/>
      <x:c r="H45" s="16"/>
      <x:c r="I45" s="16"/>
      <x:c r="J45" s="16"/>
      <x:c r="K45" s="18" t="str">
        <x:f>IF(L45="","",'参数'!$B$3+IF(ROW()=3,0,SUM($R$3:INDEX($R:$R,ROW()-1))))</x:f>
      </x:c>
      <x:c r="L45" s="18"/>
      <x:c r="M45" s="19"/>
      <x:c r="N45" s="20" t="str">
        <x:f>IF(OR(L45="",K45=""),"",L45/K45)</x:f>
      </x:c>
      <x:c r="O45" s="18" t="str">
        <x:f>IF(OR(L45="",M45=""),"",L45*M45)</x:f>
      </x:c>
      <x:c r="P45" s="18"/>
      <x:c r="Q45" s="18" t="str">
        <x:f>IF(OR(L45="",P45="",P45="未结算"),"",SWITCH(P45,"赢",L45*M45,"输",0,"走水",L45,"取消",L45,"半赢",L45*(1+(M45-1)/2),"半输",L45*0.5,""))</x:f>
      </x:c>
      <x:c r="R45" s="18" t="str">
        <x:f>IF(Q45="","",Q45-L45)</x:f>
      </x:c>
      <x:c r="S45" s="20" t="str">
        <x:f>IF(OR(L45="",R45=""),"",R45/L45)</x:f>
      </x:c>
      <x:c r="T45" s="18" t="str">
        <x:f>IF(R45="","",'参数'!$B$3+SUM($R$3:R45))</x:f>
      </x:c>
      <x:c r="U45" s="16"/>
      <x:c r="V45" s="16"/>
      <x:c r="W45" s="16"/>
    </x:row>
    <x:row r="46" ht="22.5" customHeight="1">
      <x:c r="A46" s="16" t="str">
        <x:f>IF(C46="","",ROW()-2)</x:f>
      </x:c>
      <x:c r="B46" s="21"/>
      <x:c r="C46" s="16"/>
      <x:c r="D46" s="21"/>
      <x:c r="E46" s="16"/>
      <x:c r="F46" s="16"/>
      <x:c r="G46" s="16"/>
      <x:c r="H46" s="16"/>
      <x:c r="I46" s="16"/>
      <x:c r="J46" s="16"/>
      <x:c r="K46" s="18" t="str">
        <x:f>IF(L46="","",'参数'!$B$3+IF(ROW()=3,0,SUM($R$3:INDEX($R:$R,ROW()-1))))</x:f>
      </x:c>
      <x:c r="L46" s="18"/>
      <x:c r="M46" s="19"/>
      <x:c r="N46" s="20" t="str">
        <x:f>IF(OR(L46="",K46=""),"",L46/K46)</x:f>
      </x:c>
      <x:c r="O46" s="18" t="str">
        <x:f>IF(OR(L46="",M46=""),"",L46*M46)</x:f>
      </x:c>
      <x:c r="P46" s="18"/>
      <x:c r="Q46" s="18" t="str">
        <x:f>IF(OR(L46="",P46="",P46="未结算"),"",SWITCH(P46,"赢",L46*M46,"输",0,"走水",L46,"取消",L46,"半赢",L46*(1+(M46-1)/2),"半输",L46*0.5,""))</x:f>
      </x:c>
      <x:c r="R46" s="18" t="str">
        <x:f>IF(Q46="","",Q46-L46)</x:f>
      </x:c>
      <x:c r="S46" s="20" t="str">
        <x:f>IF(OR(L46="",R46=""),"",R46/L46)</x:f>
      </x:c>
      <x:c r="T46" s="18" t="str">
        <x:f>IF(R46="","",'参数'!$B$3+SUM($R$3:R46))</x:f>
      </x:c>
      <x:c r="U46" s="16"/>
      <x:c r="V46" s="16"/>
      <x:c r="W46" s="16"/>
    </x:row>
    <x:row r="47" ht="22.5" customHeight="1">
      <x:c r="A47" s="16" t="str">
        <x:f>IF(C47="","",ROW()-2)</x:f>
      </x:c>
      <x:c r="B47" s="21"/>
      <x:c r="C47" s="16"/>
      <x:c r="D47" s="21"/>
      <x:c r="E47" s="16"/>
      <x:c r="F47" s="16"/>
      <x:c r="G47" s="16"/>
      <x:c r="H47" s="16"/>
      <x:c r="I47" s="16"/>
      <x:c r="J47" s="16"/>
      <x:c r="K47" s="18" t="str">
        <x:f>IF(L47="","",'参数'!$B$3+IF(ROW()=3,0,SUM($R$3:INDEX($R:$R,ROW()-1))))</x:f>
      </x:c>
      <x:c r="L47" s="18"/>
      <x:c r="M47" s="19"/>
      <x:c r="N47" s="20" t="str">
        <x:f>IF(OR(L47="",K47=""),"",L47/K47)</x:f>
      </x:c>
      <x:c r="O47" s="18" t="str">
        <x:f>IF(OR(L47="",M47=""),"",L47*M47)</x:f>
      </x:c>
      <x:c r="P47" s="18"/>
      <x:c r="Q47" s="18" t="str">
        <x:f>IF(OR(L47="",P47="",P47="未结算"),"",SWITCH(P47,"赢",L47*M47,"输",0,"走水",L47,"取消",L47,"半赢",L47*(1+(M47-1)/2),"半输",L47*0.5,""))</x:f>
      </x:c>
      <x:c r="R47" s="18" t="str">
        <x:f>IF(Q47="","",Q47-L47)</x:f>
      </x:c>
      <x:c r="S47" s="20" t="str">
        <x:f>IF(OR(L47="",R47=""),"",R47/L47)</x:f>
      </x:c>
      <x:c r="T47" s="18" t="str">
        <x:f>IF(R47="","",'参数'!$B$3+SUM($R$3:R47))</x:f>
      </x:c>
      <x:c r="U47" s="16"/>
      <x:c r="V47" s="16"/>
      <x:c r="W47" s="16"/>
    </x:row>
    <x:row r="48" ht="22.5" customHeight="1">
      <x:c r="A48" s="16" t="str">
        <x:f>IF(C48="","",ROW()-2)</x:f>
      </x:c>
      <x:c r="B48" s="21"/>
      <x:c r="C48" s="16"/>
      <x:c r="D48" s="21"/>
      <x:c r="E48" s="16"/>
      <x:c r="F48" s="16"/>
      <x:c r="G48" s="16"/>
      <x:c r="H48" s="16"/>
      <x:c r="I48" s="16"/>
      <x:c r="J48" s="16"/>
      <x:c r="K48" s="18" t="str">
        <x:f>IF(L48="","",'参数'!$B$3+IF(ROW()=3,0,SUM($R$3:INDEX($R:$R,ROW()-1))))</x:f>
      </x:c>
      <x:c r="L48" s="18"/>
      <x:c r="M48" s="19"/>
      <x:c r="N48" s="20" t="str">
        <x:f>IF(OR(L48="",K48=""),"",L48/K48)</x:f>
      </x:c>
      <x:c r="O48" s="18" t="str">
        <x:f>IF(OR(L48="",M48=""),"",L48*M48)</x:f>
      </x:c>
      <x:c r="P48" s="18"/>
      <x:c r="Q48" s="18" t="str">
        <x:f>IF(OR(L48="",P48="",P48="未结算"),"",SWITCH(P48,"赢",L48*M48,"输",0,"走水",L48,"取消",L48,"半赢",L48*(1+(M48-1)/2),"半输",L48*0.5,""))</x:f>
      </x:c>
      <x:c r="R48" s="18" t="str">
        <x:f>IF(Q48="","",Q48-L48)</x:f>
      </x:c>
      <x:c r="S48" s="20" t="str">
        <x:f>IF(OR(L48="",R48=""),"",R48/L48)</x:f>
      </x:c>
      <x:c r="T48" s="18" t="str">
        <x:f>IF(R48="","",'参数'!$B$3+SUM($R$3:R48))</x:f>
      </x:c>
      <x:c r="U48" s="16"/>
      <x:c r="V48" s="16"/>
      <x:c r="W48" s="16"/>
    </x:row>
    <x:row r="49" ht="22.5" customHeight="1">
      <x:c r="A49" s="16" t="str">
        <x:f>IF(C49="","",ROW()-2)</x:f>
      </x:c>
      <x:c r="B49" s="21"/>
      <x:c r="C49" s="16"/>
      <x:c r="D49" s="21"/>
      <x:c r="E49" s="16"/>
      <x:c r="F49" s="16"/>
      <x:c r="G49" s="16"/>
      <x:c r="H49" s="16"/>
      <x:c r="I49" s="16"/>
      <x:c r="J49" s="16"/>
      <x:c r="K49" s="18" t="str">
        <x:f>IF(L49="","",'参数'!$B$3+IF(ROW()=3,0,SUM($R$3:INDEX($R:$R,ROW()-1))))</x:f>
      </x:c>
      <x:c r="L49" s="18"/>
      <x:c r="M49" s="19"/>
      <x:c r="N49" s="20" t="str">
        <x:f>IF(OR(L49="",K49=""),"",L49/K49)</x:f>
      </x:c>
      <x:c r="O49" s="18" t="str">
        <x:f>IF(OR(L49="",M49=""),"",L49*M49)</x:f>
      </x:c>
      <x:c r="P49" s="18"/>
      <x:c r="Q49" s="18" t="str">
        <x:f>IF(OR(L49="",P49="",P49="未结算"),"",SWITCH(P49,"赢",L49*M49,"输",0,"走水",L49,"取消",L49,"半赢",L49*(1+(M49-1)/2),"半输",L49*0.5,""))</x:f>
      </x:c>
      <x:c r="R49" s="18" t="str">
        <x:f>IF(Q49="","",Q49-L49)</x:f>
      </x:c>
      <x:c r="S49" s="20" t="str">
        <x:f>IF(OR(L49="",R49=""),"",R49/L49)</x:f>
      </x:c>
      <x:c r="T49" s="18" t="str">
        <x:f>IF(R49="","",'参数'!$B$3+SUM($R$3:R49))</x:f>
      </x:c>
      <x:c r="U49" s="16"/>
      <x:c r="V49" s="16"/>
      <x:c r="W49" s="16"/>
    </x:row>
    <x:row r="50" ht="22.5" customHeight="1">
      <x:c r="A50" s="16" t="str">
        <x:f>IF(C50="","",ROW()-2)</x:f>
      </x:c>
      <x:c r="B50" s="21"/>
      <x:c r="C50" s="16"/>
      <x:c r="D50" s="21"/>
      <x:c r="E50" s="16"/>
      <x:c r="F50" s="16"/>
      <x:c r="G50" s="16"/>
      <x:c r="H50" s="16"/>
      <x:c r="I50" s="16"/>
      <x:c r="J50" s="16"/>
      <x:c r="K50" s="18" t="str">
        <x:f>IF(L50="","",'参数'!$B$3+IF(ROW()=3,0,SUM($R$3:INDEX($R:$R,ROW()-1))))</x:f>
      </x:c>
      <x:c r="L50" s="18"/>
      <x:c r="M50" s="19"/>
      <x:c r="N50" s="20" t="str">
        <x:f>IF(OR(L50="",K50=""),"",L50/K50)</x:f>
      </x:c>
      <x:c r="O50" s="18" t="str">
        <x:f>IF(OR(L50="",M50=""),"",L50*M50)</x:f>
      </x:c>
      <x:c r="P50" s="18"/>
      <x:c r="Q50" s="18" t="str">
        <x:f>IF(OR(L50="",P50="",P50="未结算"),"",SWITCH(P50,"赢",L50*M50,"输",0,"走水",L50,"取消",L50,"半赢",L50*(1+(M50-1)/2),"半输",L50*0.5,""))</x:f>
      </x:c>
      <x:c r="R50" s="18" t="str">
        <x:f>IF(Q50="","",Q50-L50)</x:f>
      </x:c>
      <x:c r="S50" s="20" t="str">
        <x:f>IF(OR(L50="",R50=""),"",R50/L50)</x:f>
      </x:c>
      <x:c r="T50" s="18" t="str">
        <x:f>IF(R50="","",'参数'!$B$3+SUM($R$3:R50))</x:f>
      </x:c>
      <x:c r="U50" s="16"/>
      <x:c r="V50" s="16"/>
      <x:c r="W50" s="16"/>
    </x:row>
    <x:row r="51" ht="22.5" customHeight="1">
      <x:c r="A51" s="16" t="str">
        <x:f>IF(C51="","",ROW()-2)</x:f>
      </x:c>
      <x:c r="B51" s="21"/>
      <x:c r="C51" s="16"/>
      <x:c r="D51" s="21"/>
      <x:c r="E51" s="16"/>
      <x:c r="F51" s="16"/>
      <x:c r="G51" s="16"/>
      <x:c r="H51" s="16"/>
      <x:c r="I51" s="16"/>
      <x:c r="J51" s="16"/>
      <x:c r="K51" s="18" t="str">
        <x:f>IF(L51="","",'参数'!$B$3+IF(ROW()=3,0,SUM($R$3:INDEX($R:$R,ROW()-1))))</x:f>
      </x:c>
      <x:c r="L51" s="18"/>
      <x:c r="M51" s="19"/>
      <x:c r="N51" s="20" t="str">
        <x:f>IF(OR(L51="",K51=""),"",L51/K51)</x:f>
      </x:c>
      <x:c r="O51" s="18" t="str">
        <x:f>IF(OR(L51="",M51=""),"",L51*M51)</x:f>
      </x:c>
      <x:c r="P51" s="18"/>
      <x:c r="Q51" s="18" t="str">
        <x:f>IF(OR(L51="",P51="",P51="未结算"),"",SWITCH(P51,"赢",L51*M51,"输",0,"走水",L51,"取消",L51,"半赢",L51*(1+(M51-1)/2),"半输",L51*0.5,""))</x:f>
      </x:c>
      <x:c r="R51" s="18" t="str">
        <x:f>IF(Q51="","",Q51-L51)</x:f>
      </x:c>
      <x:c r="S51" s="20" t="str">
        <x:f>IF(OR(L51="",R51=""),"",R51/L51)</x:f>
      </x:c>
      <x:c r="T51" s="18" t="str">
        <x:f>IF(R51="","",'参数'!$B$3+SUM($R$3:R51))</x:f>
      </x:c>
      <x:c r="U51" s="16"/>
      <x:c r="V51" s="16"/>
      <x:c r="W51" s="16"/>
    </x:row>
    <x:row r="52" ht="22.5" customHeight="1">
      <x:c r="A52" s="16" t="str">
        <x:f>IF(C52="","",ROW()-2)</x:f>
      </x:c>
      <x:c r="B52" s="21"/>
      <x:c r="C52" s="16"/>
      <x:c r="D52" s="21"/>
      <x:c r="E52" s="16"/>
      <x:c r="F52" s="16"/>
      <x:c r="G52" s="16"/>
      <x:c r="H52" s="16"/>
      <x:c r="I52" s="16"/>
      <x:c r="J52" s="16"/>
      <x:c r="K52" s="18" t="str">
        <x:f>IF(L52="","",'参数'!$B$3+IF(ROW()=3,0,SUM($R$3:INDEX($R:$R,ROW()-1))))</x:f>
      </x:c>
      <x:c r="L52" s="18"/>
      <x:c r="M52" s="19"/>
      <x:c r="N52" s="20" t="str">
        <x:f>IF(OR(L52="",K52=""),"",L52/K52)</x:f>
      </x:c>
      <x:c r="O52" s="18" t="str">
        <x:f>IF(OR(L52="",M52=""),"",L52*M52)</x:f>
      </x:c>
      <x:c r="P52" s="18"/>
      <x:c r="Q52" s="18" t="str">
        <x:f>IF(OR(L52="",P52="",P52="未结算"),"",SWITCH(P52,"赢",L52*M52,"输",0,"走水",L52,"取消",L52,"半赢",L52*(1+(M52-1)/2),"半输",L52*0.5,""))</x:f>
      </x:c>
      <x:c r="R52" s="18" t="str">
        <x:f>IF(Q52="","",Q52-L52)</x:f>
      </x:c>
      <x:c r="S52" s="20" t="str">
        <x:f>IF(OR(L52="",R52=""),"",R52/L52)</x:f>
      </x:c>
      <x:c r="T52" s="18" t="str">
        <x:f>IF(R52="","",'参数'!$B$3+SUM($R$3:R52))</x:f>
      </x:c>
      <x:c r="U52" s="16"/>
      <x:c r="V52" s="16"/>
      <x:c r="W52" s="16"/>
    </x:row>
    <x:row r="53" ht="22.5" customHeight="1">
      <x:c r="A53" s="16" t="str">
        <x:f>IF(C53="","",ROW()-2)</x:f>
      </x:c>
      <x:c r="B53" s="21"/>
      <x:c r="C53" s="16"/>
      <x:c r="D53" s="21"/>
      <x:c r="E53" s="16"/>
      <x:c r="F53" s="16"/>
      <x:c r="G53" s="16"/>
      <x:c r="H53" s="16"/>
      <x:c r="I53" s="16"/>
      <x:c r="J53" s="16"/>
      <x:c r="K53" s="18" t="str">
        <x:f>IF(L53="","",'参数'!$B$3+IF(ROW()=3,0,SUM($R$3:INDEX($R:$R,ROW()-1))))</x:f>
      </x:c>
      <x:c r="L53" s="18"/>
      <x:c r="M53" s="19"/>
      <x:c r="N53" s="20" t="str">
        <x:f>IF(OR(L53="",K53=""),"",L53/K53)</x:f>
      </x:c>
      <x:c r="O53" s="18" t="str">
        <x:f>IF(OR(L53="",M53=""),"",L53*M53)</x:f>
      </x:c>
      <x:c r="P53" s="18"/>
      <x:c r="Q53" s="18" t="str">
        <x:f>IF(OR(L53="",P53="",P53="未结算"),"",SWITCH(P53,"赢",L53*M53,"输",0,"走水",L53,"取消",L53,"半赢",L53*(1+(M53-1)/2),"半输",L53*0.5,""))</x:f>
      </x:c>
      <x:c r="R53" s="18" t="str">
        <x:f>IF(Q53="","",Q53-L53)</x:f>
      </x:c>
      <x:c r="S53" s="20" t="str">
        <x:f>IF(OR(L53="",R53=""),"",R53/L53)</x:f>
      </x:c>
      <x:c r="T53" s="18" t="str">
        <x:f>IF(R53="","",'参数'!$B$3+SUM($R$3:R53))</x:f>
      </x:c>
      <x:c r="U53" s="16"/>
      <x:c r="V53" s="16"/>
      <x:c r="W53" s="16"/>
    </x:row>
    <x:row r="54" ht="22.5" customHeight="1">
      <x:c r="A54" s="16" t="str">
        <x:f>IF(C54="","",ROW()-2)</x:f>
      </x:c>
      <x:c r="B54" s="21"/>
      <x:c r="C54" s="16"/>
      <x:c r="D54" s="21"/>
      <x:c r="E54" s="16"/>
      <x:c r="F54" s="16"/>
      <x:c r="G54" s="16"/>
      <x:c r="H54" s="16"/>
      <x:c r="I54" s="16"/>
      <x:c r="J54" s="16"/>
      <x:c r="K54" s="18" t="str">
        <x:f>IF(L54="","",'参数'!$B$3+IF(ROW()=3,0,SUM($R$3:INDEX($R:$R,ROW()-1))))</x:f>
      </x:c>
      <x:c r="L54" s="18"/>
      <x:c r="M54" s="19"/>
      <x:c r="N54" s="20" t="str">
        <x:f>IF(OR(L54="",K54=""),"",L54/K54)</x:f>
      </x:c>
      <x:c r="O54" s="18" t="str">
        <x:f>IF(OR(L54="",M54=""),"",L54*M54)</x:f>
      </x:c>
      <x:c r="P54" s="18"/>
      <x:c r="Q54" s="18" t="str">
        <x:f>IF(OR(L54="",P54="",P54="未结算"),"",SWITCH(P54,"赢",L54*M54,"输",0,"走水",L54,"取消",L54,"半赢",L54*(1+(M54-1)/2),"半输",L54*0.5,""))</x:f>
      </x:c>
      <x:c r="R54" s="18" t="str">
        <x:f>IF(Q54="","",Q54-L54)</x:f>
      </x:c>
      <x:c r="S54" s="20" t="str">
        <x:f>IF(OR(L54="",R54=""),"",R54/L54)</x:f>
      </x:c>
      <x:c r="T54" s="18" t="str">
        <x:f>IF(R54="","",'参数'!$B$3+SUM($R$3:R54))</x:f>
      </x:c>
      <x:c r="U54" s="16"/>
      <x:c r="V54" s="16"/>
      <x:c r="W54" s="16"/>
    </x:row>
    <x:row r="55" ht="22.5" customHeight="1">
      <x:c r="A55" s="16" t="str">
        <x:f>IF(C55="","",ROW()-2)</x:f>
      </x:c>
      <x:c r="B55" s="21"/>
      <x:c r="C55" s="16"/>
      <x:c r="D55" s="21"/>
      <x:c r="E55" s="16"/>
      <x:c r="F55" s="16"/>
      <x:c r="G55" s="16"/>
      <x:c r="H55" s="16"/>
      <x:c r="I55" s="16"/>
      <x:c r="J55" s="16"/>
      <x:c r="K55" s="18" t="str">
        <x:f>IF(L55="","",'参数'!$B$3+IF(ROW()=3,0,SUM($R$3:INDEX($R:$R,ROW()-1))))</x:f>
      </x:c>
      <x:c r="L55" s="18"/>
      <x:c r="M55" s="19"/>
      <x:c r="N55" s="20" t="str">
        <x:f>IF(OR(L55="",K55=""),"",L55/K55)</x:f>
      </x:c>
      <x:c r="O55" s="18" t="str">
        <x:f>IF(OR(L55="",M55=""),"",L55*M55)</x:f>
      </x:c>
      <x:c r="P55" s="18"/>
      <x:c r="Q55" s="18" t="str">
        <x:f>IF(OR(L55="",P55="",P55="未结算"),"",SWITCH(P55,"赢",L55*M55,"输",0,"走水",L55,"取消",L55,"半赢",L55*(1+(M55-1)/2),"半输",L55*0.5,""))</x:f>
      </x:c>
      <x:c r="R55" s="18" t="str">
        <x:f>IF(Q55="","",Q55-L55)</x:f>
      </x:c>
      <x:c r="S55" s="20" t="str">
        <x:f>IF(OR(L55="",R55=""),"",R55/L55)</x:f>
      </x:c>
      <x:c r="T55" s="18" t="str">
        <x:f>IF(R55="","",'参数'!$B$3+SUM($R$3:R55))</x:f>
      </x:c>
      <x:c r="U55" s="16"/>
      <x:c r="V55" s="16"/>
      <x:c r="W55" s="16"/>
    </x:row>
    <x:row r="56" ht="22.5" customHeight="1">
      <x:c r="A56" s="16" t="str">
        <x:f>IF(C56="","",ROW()-2)</x:f>
      </x:c>
      <x:c r="B56" s="21"/>
      <x:c r="C56" s="16"/>
      <x:c r="D56" s="21"/>
      <x:c r="E56" s="16"/>
      <x:c r="F56" s="16"/>
      <x:c r="G56" s="16"/>
      <x:c r="H56" s="16"/>
      <x:c r="I56" s="16"/>
      <x:c r="J56" s="16"/>
      <x:c r="K56" s="18" t="str">
        <x:f>IF(L56="","",'参数'!$B$3+IF(ROW()=3,0,SUM($R$3:INDEX($R:$R,ROW()-1))))</x:f>
      </x:c>
      <x:c r="L56" s="18"/>
      <x:c r="M56" s="19"/>
      <x:c r="N56" s="20" t="str">
        <x:f>IF(OR(L56="",K56=""),"",L56/K56)</x:f>
      </x:c>
      <x:c r="O56" s="18" t="str">
        <x:f>IF(OR(L56="",M56=""),"",L56*M56)</x:f>
      </x:c>
      <x:c r="P56" s="18"/>
      <x:c r="Q56" s="18" t="str">
        <x:f>IF(OR(L56="",P56="",P56="未结算"),"",SWITCH(P56,"赢",L56*M56,"输",0,"走水",L56,"取消",L56,"半赢",L56*(1+(M56-1)/2),"半输",L56*0.5,""))</x:f>
      </x:c>
      <x:c r="R56" s="18" t="str">
        <x:f>IF(Q56="","",Q56-L56)</x:f>
      </x:c>
      <x:c r="S56" s="20" t="str">
        <x:f>IF(OR(L56="",R56=""),"",R56/L56)</x:f>
      </x:c>
      <x:c r="T56" s="18" t="str">
        <x:f>IF(R56="","",'参数'!$B$3+SUM($R$3:R56))</x:f>
      </x:c>
      <x:c r="U56" s="16"/>
      <x:c r="V56" s="16"/>
      <x:c r="W56" s="16"/>
    </x:row>
    <x:row r="57" ht="22.5" customHeight="1">
      <x:c r="A57" s="16" t="str">
        <x:f>IF(C57="","",ROW()-2)</x:f>
      </x:c>
      <x:c r="B57" s="21"/>
      <x:c r="C57" s="16"/>
      <x:c r="D57" s="21"/>
      <x:c r="E57" s="16"/>
      <x:c r="F57" s="16"/>
      <x:c r="G57" s="16"/>
      <x:c r="H57" s="16"/>
      <x:c r="I57" s="16"/>
      <x:c r="J57" s="16"/>
      <x:c r="K57" s="18" t="str">
        <x:f>IF(L57="","",'参数'!$B$3+IF(ROW()=3,0,SUM($R$3:INDEX($R:$R,ROW()-1))))</x:f>
      </x:c>
      <x:c r="L57" s="18"/>
      <x:c r="M57" s="19"/>
      <x:c r="N57" s="20" t="str">
        <x:f>IF(OR(L57="",K57=""),"",L57/K57)</x:f>
      </x:c>
      <x:c r="O57" s="18" t="str">
        <x:f>IF(OR(L57="",M57=""),"",L57*M57)</x:f>
      </x:c>
      <x:c r="P57" s="18"/>
      <x:c r="Q57" s="18" t="str">
        <x:f>IF(OR(L57="",P57="",P57="未结算"),"",SWITCH(P57,"赢",L57*M57,"输",0,"走水",L57,"取消",L57,"半赢",L57*(1+(M57-1)/2),"半输",L57*0.5,""))</x:f>
      </x:c>
      <x:c r="R57" s="18" t="str">
        <x:f>IF(Q57="","",Q57-L57)</x:f>
      </x:c>
      <x:c r="S57" s="20" t="str">
        <x:f>IF(OR(L57="",R57=""),"",R57/L57)</x:f>
      </x:c>
      <x:c r="T57" s="18" t="str">
        <x:f>IF(R57="","",'参数'!$B$3+SUM($R$3:R57))</x:f>
      </x:c>
      <x:c r="U57" s="16"/>
      <x:c r="V57" s="16"/>
      <x:c r="W57" s="16"/>
    </x:row>
    <x:row r="58" ht="22.5" customHeight="1">
      <x:c r="A58" s="16" t="str">
        <x:f>IF(C58="","",ROW()-2)</x:f>
      </x:c>
      <x:c r="B58" s="21"/>
      <x:c r="C58" s="16"/>
      <x:c r="D58" s="21"/>
      <x:c r="E58" s="16"/>
      <x:c r="F58" s="16"/>
      <x:c r="G58" s="16"/>
      <x:c r="H58" s="16"/>
      <x:c r="I58" s="16"/>
      <x:c r="J58" s="16"/>
      <x:c r="K58" s="18" t="str">
        <x:f>IF(L58="","",'参数'!$B$3+IF(ROW()=3,0,SUM($R$3:INDEX($R:$R,ROW()-1))))</x:f>
      </x:c>
      <x:c r="L58" s="18"/>
      <x:c r="M58" s="19"/>
      <x:c r="N58" s="20" t="str">
        <x:f>IF(OR(L58="",K58=""),"",L58/K58)</x:f>
      </x:c>
      <x:c r="O58" s="18" t="str">
        <x:f>IF(OR(L58="",M58=""),"",L58*M58)</x:f>
      </x:c>
      <x:c r="P58" s="18"/>
      <x:c r="Q58" s="18" t="str">
        <x:f>IF(OR(L58="",P58="",P58="未结算"),"",SWITCH(P58,"赢",L58*M58,"输",0,"走水",L58,"取消",L58,"半赢",L58*(1+(M58-1)/2),"半输",L58*0.5,""))</x:f>
      </x:c>
      <x:c r="R58" s="18" t="str">
        <x:f>IF(Q58="","",Q58-L58)</x:f>
      </x:c>
      <x:c r="S58" s="20" t="str">
        <x:f>IF(OR(L58="",R58=""),"",R58/L58)</x:f>
      </x:c>
      <x:c r="T58" s="18" t="str">
        <x:f>IF(R58="","",'参数'!$B$3+SUM($R$3:R58))</x:f>
      </x:c>
      <x:c r="U58" s="16"/>
      <x:c r="V58" s="16"/>
      <x:c r="W58" s="16"/>
    </x:row>
    <x:row r="59" ht="22.5" customHeight="1">
      <x:c r="A59" s="16" t="str">
        <x:f>IF(C59="","",ROW()-2)</x:f>
      </x:c>
      <x:c r="B59" s="21"/>
      <x:c r="C59" s="16"/>
      <x:c r="D59" s="21"/>
      <x:c r="E59" s="16"/>
      <x:c r="F59" s="16"/>
      <x:c r="G59" s="16"/>
      <x:c r="H59" s="16"/>
      <x:c r="I59" s="16"/>
      <x:c r="J59" s="16"/>
      <x:c r="K59" s="18" t="str">
        <x:f>IF(L59="","",'参数'!$B$3+IF(ROW()=3,0,SUM($R$3:INDEX($R:$R,ROW()-1))))</x:f>
      </x:c>
      <x:c r="L59" s="18"/>
      <x:c r="M59" s="19"/>
      <x:c r="N59" s="20" t="str">
        <x:f>IF(OR(L59="",K59=""),"",L59/K59)</x:f>
      </x:c>
      <x:c r="O59" s="18" t="str">
        <x:f>IF(OR(L59="",M59=""),"",L59*M59)</x:f>
      </x:c>
      <x:c r="P59" s="18"/>
      <x:c r="Q59" s="18" t="str">
        <x:f>IF(OR(L59="",P59="",P59="未结算"),"",SWITCH(P59,"赢",L59*M59,"输",0,"走水",L59,"取消",L59,"半赢",L59*(1+(M59-1)/2),"半输",L59*0.5,""))</x:f>
      </x:c>
      <x:c r="R59" s="18" t="str">
        <x:f>IF(Q59="","",Q59-L59)</x:f>
      </x:c>
      <x:c r="S59" s="20" t="str">
        <x:f>IF(OR(L59="",R59=""),"",R59/L59)</x:f>
      </x:c>
      <x:c r="T59" s="18" t="str">
        <x:f>IF(R59="","",'参数'!$B$3+SUM($R$3:R59))</x:f>
      </x:c>
      <x:c r="U59" s="16"/>
      <x:c r="V59" s="16"/>
      <x:c r="W59" s="16"/>
    </x:row>
    <x:row r="60" ht="22.5" customHeight="1">
      <x:c r="A60" s="16" t="str">
        <x:f>IF(C60="","",ROW()-2)</x:f>
      </x:c>
      <x:c r="B60" s="21"/>
      <x:c r="C60" s="16"/>
      <x:c r="D60" s="21"/>
      <x:c r="E60" s="16"/>
      <x:c r="F60" s="16"/>
      <x:c r="G60" s="16"/>
      <x:c r="H60" s="16"/>
      <x:c r="I60" s="16"/>
      <x:c r="J60" s="16"/>
      <x:c r="K60" s="18" t="str">
        <x:f>IF(L60="","",'参数'!$B$3+IF(ROW()=3,0,SUM($R$3:INDEX($R:$R,ROW()-1))))</x:f>
      </x:c>
      <x:c r="L60" s="18"/>
      <x:c r="M60" s="19"/>
      <x:c r="N60" s="20" t="str">
        <x:f>IF(OR(L60="",K60=""),"",L60/K60)</x:f>
      </x:c>
      <x:c r="O60" s="18" t="str">
        <x:f>IF(OR(L60="",M60=""),"",L60*M60)</x:f>
      </x:c>
      <x:c r="P60" s="18"/>
      <x:c r="Q60" s="18" t="str">
        <x:f>IF(OR(L60="",P60="",P60="未结算"),"",SWITCH(P60,"赢",L60*M60,"输",0,"走水",L60,"取消",L60,"半赢",L60*(1+(M60-1)/2),"半输",L60*0.5,""))</x:f>
      </x:c>
      <x:c r="R60" s="18" t="str">
        <x:f>IF(Q60="","",Q60-L60)</x:f>
      </x:c>
      <x:c r="S60" s="20" t="str">
        <x:f>IF(OR(L60="",R60=""),"",R60/L60)</x:f>
      </x:c>
      <x:c r="T60" s="18" t="str">
        <x:f>IF(R60="","",'参数'!$B$3+SUM($R$3:R60))</x:f>
      </x:c>
      <x:c r="U60" s="16"/>
      <x:c r="V60" s="16"/>
      <x:c r="W60" s="16"/>
    </x:row>
    <x:row r="61" ht="22.5" customHeight="1">
      <x:c r="A61" s="16" t="str">
        <x:f>IF(C61="","",ROW()-2)</x:f>
      </x:c>
      <x:c r="B61" s="21"/>
      <x:c r="C61" s="16"/>
      <x:c r="D61" s="21"/>
      <x:c r="E61" s="16"/>
      <x:c r="F61" s="16"/>
      <x:c r="G61" s="16"/>
      <x:c r="H61" s="16"/>
      <x:c r="I61" s="16"/>
      <x:c r="J61" s="16"/>
      <x:c r="K61" s="18" t="str">
        <x:f>IF(L61="","",'参数'!$B$3+IF(ROW()=3,0,SUM($R$3:INDEX($R:$R,ROW()-1))))</x:f>
      </x:c>
      <x:c r="L61" s="18"/>
      <x:c r="M61" s="19"/>
      <x:c r="N61" s="20" t="str">
        <x:f>IF(OR(L61="",K61=""),"",L61/K61)</x:f>
      </x:c>
      <x:c r="O61" s="18" t="str">
        <x:f>IF(OR(L61="",M61=""),"",L61*M61)</x:f>
      </x:c>
      <x:c r="P61" s="18"/>
      <x:c r="Q61" s="18" t="str">
        <x:f>IF(OR(L61="",P61="",P61="未结算"),"",SWITCH(P61,"赢",L61*M61,"输",0,"走水",L61,"取消",L61,"半赢",L61*(1+(M61-1)/2),"半输",L61*0.5,""))</x:f>
      </x:c>
      <x:c r="R61" s="18" t="str">
        <x:f>IF(Q61="","",Q61-L61)</x:f>
      </x:c>
      <x:c r="S61" s="20" t="str">
        <x:f>IF(OR(L61="",R61=""),"",R61/L61)</x:f>
      </x:c>
      <x:c r="T61" s="18" t="str">
        <x:f>IF(R61="","",'参数'!$B$3+SUM($R$3:R61))</x:f>
      </x:c>
      <x:c r="U61" s="16"/>
      <x:c r="V61" s="16"/>
      <x:c r="W61" s="16"/>
    </x:row>
    <x:row r="62" ht="22.5" customHeight="1">
      <x:c r="A62" s="16" t="str">
        <x:f>IF(C62="","",ROW()-2)</x:f>
      </x:c>
      <x:c r="B62" s="21"/>
      <x:c r="C62" s="16"/>
      <x:c r="D62" s="21"/>
      <x:c r="E62" s="16"/>
      <x:c r="F62" s="16"/>
      <x:c r="G62" s="16"/>
      <x:c r="H62" s="16"/>
      <x:c r="I62" s="16"/>
      <x:c r="J62" s="16"/>
      <x:c r="K62" s="18" t="str">
        <x:f>IF(L62="","",'参数'!$B$3+IF(ROW()=3,0,SUM($R$3:INDEX($R:$R,ROW()-1))))</x:f>
      </x:c>
      <x:c r="L62" s="18"/>
      <x:c r="M62" s="19"/>
      <x:c r="N62" s="20" t="str">
        <x:f>IF(OR(L62="",K62=""),"",L62/K62)</x:f>
      </x:c>
      <x:c r="O62" s="18" t="str">
        <x:f>IF(OR(L62="",M62=""),"",L62*M62)</x:f>
      </x:c>
      <x:c r="P62" s="18"/>
      <x:c r="Q62" s="18" t="str">
        <x:f>IF(OR(L62="",P62="",P62="未结算"),"",SWITCH(P62,"赢",L62*M62,"输",0,"走水",L62,"取消",L62,"半赢",L62*(1+(M62-1)/2),"半输",L62*0.5,""))</x:f>
      </x:c>
      <x:c r="R62" s="18" t="str">
        <x:f>IF(Q62="","",Q62-L62)</x:f>
      </x:c>
      <x:c r="S62" s="20" t="str">
        <x:f>IF(OR(L62="",R62=""),"",R62/L62)</x:f>
      </x:c>
      <x:c r="T62" s="18" t="str">
        <x:f>IF(R62="","",'参数'!$B$3+SUM($R$3:R62))</x:f>
      </x:c>
      <x:c r="U62" s="16"/>
      <x:c r="V62" s="16"/>
      <x:c r="W62" s="16"/>
    </x:row>
    <x:row r="63" ht="22.5" customHeight="1">
      <x:c r="A63" s="16" t="str">
        <x:f>IF(C63="","",ROW()-2)</x:f>
      </x:c>
      <x:c r="B63" s="21"/>
      <x:c r="C63" s="16"/>
      <x:c r="D63" s="21"/>
      <x:c r="E63" s="16"/>
      <x:c r="F63" s="16"/>
      <x:c r="G63" s="16"/>
      <x:c r="H63" s="16"/>
      <x:c r="I63" s="16"/>
      <x:c r="J63" s="16"/>
      <x:c r="K63" s="18" t="str">
        <x:f>IF(L63="","",'参数'!$B$3+IF(ROW()=3,0,SUM($R$3:INDEX($R:$R,ROW()-1))))</x:f>
      </x:c>
      <x:c r="L63" s="18"/>
      <x:c r="M63" s="19"/>
      <x:c r="N63" s="20" t="str">
        <x:f>IF(OR(L63="",K63=""),"",L63/K63)</x:f>
      </x:c>
      <x:c r="O63" s="18" t="str">
        <x:f>IF(OR(L63="",M63=""),"",L63*M63)</x:f>
      </x:c>
      <x:c r="P63" s="18"/>
      <x:c r="Q63" s="18" t="str">
        <x:f>IF(OR(L63="",P63="",P63="未结算"),"",SWITCH(P63,"赢",L63*M63,"输",0,"走水",L63,"取消",L63,"半赢",L63*(1+(M63-1)/2),"半输",L63*0.5,""))</x:f>
      </x:c>
      <x:c r="R63" s="18" t="str">
        <x:f>IF(Q63="","",Q63-L63)</x:f>
      </x:c>
      <x:c r="S63" s="20" t="str">
        <x:f>IF(OR(L63="",R63=""),"",R63/L63)</x:f>
      </x:c>
      <x:c r="T63" s="18" t="str">
        <x:f>IF(R63="","",'参数'!$B$3+SUM($R$3:R63))</x:f>
      </x:c>
      <x:c r="U63" s="16"/>
      <x:c r="V63" s="16"/>
      <x:c r="W63" s="16"/>
    </x:row>
    <x:row r="64" ht="22.5" customHeight="1">
      <x:c r="A64" s="16" t="str">
        <x:f>IF(C64="","",ROW()-2)</x:f>
      </x:c>
      <x:c r="B64" s="21"/>
      <x:c r="C64" s="16"/>
      <x:c r="D64" s="21"/>
      <x:c r="E64" s="16"/>
      <x:c r="F64" s="16"/>
      <x:c r="G64" s="16"/>
      <x:c r="H64" s="16"/>
      <x:c r="I64" s="16"/>
      <x:c r="J64" s="16"/>
      <x:c r="K64" s="18" t="str">
        <x:f>IF(L64="","",'参数'!$B$3+IF(ROW()=3,0,SUM($R$3:INDEX($R:$R,ROW()-1))))</x:f>
      </x:c>
      <x:c r="L64" s="18"/>
      <x:c r="M64" s="19"/>
      <x:c r="N64" s="20" t="str">
        <x:f>IF(OR(L64="",K64=""),"",L64/K64)</x:f>
      </x:c>
      <x:c r="O64" s="18" t="str">
        <x:f>IF(OR(L64="",M64=""),"",L64*M64)</x:f>
      </x:c>
      <x:c r="P64" s="18"/>
      <x:c r="Q64" s="18" t="str">
        <x:f>IF(OR(L64="",P64="",P64="未结算"),"",SWITCH(P64,"赢",L64*M64,"输",0,"走水",L64,"取消",L64,"半赢",L64*(1+(M64-1)/2),"半输",L64*0.5,""))</x:f>
      </x:c>
      <x:c r="R64" s="18" t="str">
        <x:f>IF(Q64="","",Q64-L64)</x:f>
      </x:c>
      <x:c r="S64" s="20" t="str">
        <x:f>IF(OR(L64="",R64=""),"",R64/L64)</x:f>
      </x:c>
      <x:c r="T64" s="18" t="str">
        <x:f>IF(R64="","",'参数'!$B$3+SUM($R$3:R64))</x:f>
      </x:c>
      <x:c r="U64" s="16"/>
      <x:c r="V64" s="16"/>
      <x:c r="W64" s="16"/>
    </x:row>
    <x:row r="65" ht="22.5" customHeight="1">
      <x:c r="A65" s="16" t="str">
        <x:f>IF(C65="","",ROW()-2)</x:f>
      </x:c>
      <x:c r="B65" s="21"/>
      <x:c r="C65" s="16"/>
      <x:c r="D65" s="21"/>
      <x:c r="E65" s="16"/>
      <x:c r="F65" s="16"/>
      <x:c r="G65" s="16"/>
      <x:c r="H65" s="16"/>
      <x:c r="I65" s="16"/>
      <x:c r="J65" s="16"/>
      <x:c r="K65" s="18" t="str">
        <x:f>IF(L65="","",'参数'!$B$3+IF(ROW()=3,0,SUM($R$3:INDEX($R:$R,ROW()-1))))</x:f>
      </x:c>
      <x:c r="L65" s="18"/>
      <x:c r="M65" s="19"/>
      <x:c r="N65" s="20" t="str">
        <x:f>IF(OR(L65="",K65=""),"",L65/K65)</x:f>
      </x:c>
      <x:c r="O65" s="18" t="str">
        <x:f>IF(OR(L65="",M65=""),"",L65*M65)</x:f>
      </x:c>
      <x:c r="P65" s="18"/>
      <x:c r="Q65" s="18" t="str">
        <x:f>IF(OR(L65="",P65="",P65="未结算"),"",SWITCH(P65,"赢",L65*M65,"输",0,"走水",L65,"取消",L65,"半赢",L65*(1+(M65-1)/2),"半输",L65*0.5,""))</x:f>
      </x:c>
      <x:c r="R65" s="18" t="str">
        <x:f>IF(Q65="","",Q65-L65)</x:f>
      </x:c>
      <x:c r="S65" s="20" t="str">
        <x:f>IF(OR(L65="",R65=""),"",R65/L65)</x:f>
      </x:c>
      <x:c r="T65" s="18" t="str">
        <x:f>IF(R65="","",'参数'!$B$3+SUM($R$3:R65))</x:f>
      </x:c>
      <x:c r="U65" s="16"/>
      <x:c r="V65" s="16"/>
      <x:c r="W65" s="16"/>
    </x:row>
    <x:row r="66" ht="22.5" customHeight="1">
      <x:c r="A66" s="16" t="str">
        <x:f>IF(C66="","",ROW()-2)</x:f>
      </x:c>
      <x:c r="B66" s="21"/>
      <x:c r="C66" s="16"/>
      <x:c r="D66" s="21"/>
      <x:c r="E66" s="16"/>
      <x:c r="F66" s="16"/>
      <x:c r="G66" s="16"/>
      <x:c r="H66" s="16"/>
      <x:c r="I66" s="16"/>
      <x:c r="J66" s="16"/>
      <x:c r="K66" s="18" t="str">
        <x:f>IF(L66="","",'参数'!$B$3+IF(ROW()=3,0,SUM($R$3:INDEX($R:$R,ROW()-1))))</x:f>
      </x:c>
      <x:c r="L66" s="18"/>
      <x:c r="M66" s="19"/>
      <x:c r="N66" s="20" t="str">
        <x:f>IF(OR(L66="",K66=""),"",L66/K66)</x:f>
      </x:c>
      <x:c r="O66" s="18" t="str">
        <x:f>IF(OR(L66="",M66=""),"",L66*M66)</x:f>
      </x:c>
      <x:c r="P66" s="18"/>
      <x:c r="Q66" s="18" t="str">
        <x:f>IF(OR(L66="",P66="",P66="未结算"),"",SWITCH(P66,"赢",L66*M66,"输",0,"走水",L66,"取消",L66,"半赢",L66*(1+(M66-1)/2),"半输",L66*0.5,""))</x:f>
      </x:c>
      <x:c r="R66" s="18" t="str">
        <x:f>IF(Q66="","",Q66-L66)</x:f>
      </x:c>
      <x:c r="S66" s="20" t="str">
        <x:f>IF(OR(L66="",R66=""),"",R66/L66)</x:f>
      </x:c>
      <x:c r="T66" s="18" t="str">
        <x:f>IF(R66="","",'参数'!$B$3+SUM($R$3:R66))</x:f>
      </x:c>
      <x:c r="U66" s="16"/>
      <x:c r="V66" s="16"/>
      <x:c r="W66" s="16"/>
    </x:row>
    <x:row r="67" ht="22.5" customHeight="1">
      <x:c r="A67" s="16" t="str">
        <x:f>IF(C67="","",ROW()-2)</x:f>
      </x:c>
      <x:c r="B67" s="21"/>
      <x:c r="C67" s="16"/>
      <x:c r="D67" s="21"/>
      <x:c r="E67" s="16"/>
      <x:c r="F67" s="16"/>
      <x:c r="G67" s="16"/>
      <x:c r="H67" s="16"/>
      <x:c r="I67" s="16"/>
      <x:c r="J67" s="16"/>
      <x:c r="K67" s="18" t="str">
        <x:f>IF(L67="","",'参数'!$B$3+IF(ROW()=3,0,SUM($R$3:INDEX($R:$R,ROW()-1))))</x:f>
      </x:c>
      <x:c r="L67" s="18"/>
      <x:c r="M67" s="19"/>
      <x:c r="N67" s="20" t="str">
        <x:f>IF(OR(L67="",K67=""),"",L67/K67)</x:f>
      </x:c>
      <x:c r="O67" s="18" t="str">
        <x:f>IF(OR(L67="",M67=""),"",L67*M67)</x:f>
      </x:c>
      <x:c r="P67" s="18"/>
      <x:c r="Q67" s="18" t="str">
        <x:f>IF(OR(L67="",P67="",P67="未结算"),"",SWITCH(P67,"赢",L67*M67,"输",0,"走水",L67,"取消",L67,"半赢",L67*(1+(M67-1)/2),"半输",L67*0.5,""))</x:f>
      </x:c>
      <x:c r="R67" s="18" t="str">
        <x:f>IF(Q67="","",Q67-L67)</x:f>
      </x:c>
      <x:c r="S67" s="20" t="str">
        <x:f>IF(OR(L67="",R67=""),"",R67/L67)</x:f>
      </x:c>
      <x:c r="T67" s="18" t="str">
        <x:f>IF(R67="","",'参数'!$B$3+SUM($R$3:R67))</x:f>
      </x:c>
      <x:c r="U67" s="16"/>
      <x:c r="V67" s="16"/>
      <x:c r="W67" s="16"/>
    </x:row>
    <x:row r="68" ht="22.5" customHeight="1">
      <x:c r="A68" s="16" t="str">
        <x:f>IF(C68="","",ROW()-2)</x:f>
      </x:c>
      <x:c r="B68" s="21"/>
      <x:c r="C68" s="16"/>
      <x:c r="D68" s="21"/>
      <x:c r="E68" s="16"/>
      <x:c r="F68" s="16"/>
      <x:c r="G68" s="16"/>
      <x:c r="H68" s="16"/>
      <x:c r="I68" s="16"/>
      <x:c r="J68" s="16"/>
      <x:c r="K68" s="18" t="str">
        <x:f>IF(L68="","",'参数'!$B$3+IF(ROW()=3,0,SUM($R$3:INDEX($R:$R,ROW()-1))))</x:f>
      </x:c>
      <x:c r="L68" s="18"/>
      <x:c r="M68" s="19"/>
      <x:c r="N68" s="20" t="str">
        <x:f>IF(OR(L68="",K68=""),"",L68/K68)</x:f>
      </x:c>
      <x:c r="O68" s="18" t="str">
        <x:f>IF(OR(L68="",M68=""),"",L68*M68)</x:f>
      </x:c>
      <x:c r="P68" s="18"/>
      <x:c r="Q68" s="18" t="str">
        <x:f>IF(OR(L68="",P68="",P68="未结算"),"",SWITCH(P68,"赢",L68*M68,"输",0,"走水",L68,"取消",L68,"半赢",L68*(1+(M68-1)/2),"半输",L68*0.5,""))</x:f>
      </x:c>
      <x:c r="R68" s="18" t="str">
        <x:f>IF(Q68="","",Q68-L68)</x:f>
      </x:c>
      <x:c r="S68" s="20" t="str">
        <x:f>IF(OR(L68="",R68=""),"",R68/L68)</x:f>
      </x:c>
      <x:c r="T68" s="18" t="str">
        <x:f>IF(R68="","",'参数'!$B$3+SUM($R$3:R68))</x:f>
      </x:c>
      <x:c r="U68" s="16"/>
      <x:c r="V68" s="16"/>
      <x:c r="W68" s="16"/>
    </x:row>
    <x:row r="69" ht="22.5" customHeight="1">
      <x:c r="A69" s="16" t="str">
        <x:f>IF(C69="","",ROW()-2)</x:f>
      </x:c>
      <x:c r="B69" s="21"/>
      <x:c r="C69" s="16"/>
      <x:c r="D69" s="21"/>
      <x:c r="E69" s="16"/>
      <x:c r="F69" s="16"/>
      <x:c r="G69" s="16"/>
      <x:c r="H69" s="16"/>
      <x:c r="I69" s="16"/>
      <x:c r="J69" s="16"/>
      <x:c r="K69" s="18" t="str">
        <x:f>IF(L69="","",'参数'!$B$3+IF(ROW()=3,0,SUM($R$3:INDEX($R:$R,ROW()-1))))</x:f>
      </x:c>
      <x:c r="L69" s="18"/>
      <x:c r="M69" s="19"/>
      <x:c r="N69" s="20" t="str">
        <x:f>IF(OR(L69="",K69=""),"",L69/K69)</x:f>
      </x:c>
      <x:c r="O69" s="18" t="str">
        <x:f>IF(OR(L69="",M69=""),"",L69*M69)</x:f>
      </x:c>
      <x:c r="P69" s="18"/>
      <x:c r="Q69" s="18" t="str">
        <x:f>IF(OR(L69="",P69="",P69="未结算"),"",SWITCH(P69,"赢",L69*M69,"输",0,"走水",L69,"取消",L69,"半赢",L69*(1+(M69-1)/2),"半输",L69*0.5,""))</x:f>
      </x:c>
      <x:c r="R69" s="18" t="str">
        <x:f>IF(Q69="","",Q69-L69)</x:f>
      </x:c>
      <x:c r="S69" s="20" t="str">
        <x:f>IF(OR(L69="",R69=""),"",R69/L69)</x:f>
      </x:c>
      <x:c r="T69" s="18" t="str">
        <x:f>IF(R69="","",'参数'!$B$3+SUM($R$3:R69))</x:f>
      </x:c>
      <x:c r="U69" s="16"/>
      <x:c r="V69" s="16"/>
      <x:c r="W69" s="16"/>
    </x:row>
    <x:row r="70" ht="22.5" customHeight="1">
      <x:c r="A70" s="16" t="str">
        <x:f>IF(C70="","",ROW()-2)</x:f>
      </x:c>
      <x:c r="B70" s="21"/>
      <x:c r="C70" s="16"/>
      <x:c r="D70" s="21"/>
      <x:c r="E70" s="16"/>
      <x:c r="F70" s="16"/>
      <x:c r="G70" s="16"/>
      <x:c r="H70" s="16"/>
      <x:c r="I70" s="16"/>
      <x:c r="J70" s="16"/>
      <x:c r="K70" s="18" t="str">
        <x:f>IF(L70="","",'参数'!$B$3+IF(ROW()=3,0,SUM($R$3:INDEX($R:$R,ROW()-1))))</x:f>
      </x:c>
      <x:c r="L70" s="18"/>
      <x:c r="M70" s="19"/>
      <x:c r="N70" s="20" t="str">
        <x:f>IF(OR(L70="",K70=""),"",L70/K70)</x:f>
      </x:c>
      <x:c r="O70" s="18" t="str">
        <x:f>IF(OR(L70="",M70=""),"",L70*M70)</x:f>
      </x:c>
      <x:c r="P70" s="18"/>
      <x:c r="Q70" s="18" t="str">
        <x:f>IF(OR(L70="",P70="",P70="未结算"),"",SWITCH(P70,"赢",L70*M70,"输",0,"走水",L70,"取消",L70,"半赢",L70*(1+(M70-1)/2),"半输",L70*0.5,""))</x:f>
      </x:c>
      <x:c r="R70" s="18" t="str">
        <x:f>IF(Q70="","",Q70-L70)</x:f>
      </x:c>
      <x:c r="S70" s="20" t="str">
        <x:f>IF(OR(L70="",R70=""),"",R70/L70)</x:f>
      </x:c>
      <x:c r="T70" s="18" t="str">
        <x:f>IF(R70="","",'参数'!$B$3+SUM($R$3:R70))</x:f>
      </x:c>
      <x:c r="U70" s="16"/>
      <x:c r="V70" s="16"/>
      <x:c r="W70" s="16"/>
    </x:row>
    <x:row r="71" ht="22.5" customHeight="1">
      <x:c r="A71" s="16" t="str">
        <x:f>IF(C71="","",ROW()-2)</x:f>
      </x:c>
      <x:c r="B71" s="21"/>
      <x:c r="C71" s="16"/>
      <x:c r="D71" s="21"/>
      <x:c r="E71" s="16"/>
      <x:c r="F71" s="16"/>
      <x:c r="G71" s="16"/>
      <x:c r="H71" s="16"/>
      <x:c r="I71" s="16"/>
      <x:c r="J71" s="16"/>
      <x:c r="K71" s="18" t="str">
        <x:f>IF(L71="","",'参数'!$B$3+IF(ROW()=3,0,SUM($R$3:INDEX($R:$R,ROW()-1))))</x:f>
      </x:c>
      <x:c r="L71" s="18"/>
      <x:c r="M71" s="19"/>
      <x:c r="N71" s="20" t="str">
        <x:f>IF(OR(L71="",K71=""),"",L71/K71)</x:f>
      </x:c>
      <x:c r="O71" s="18" t="str">
        <x:f>IF(OR(L71="",M71=""),"",L71*M71)</x:f>
      </x:c>
      <x:c r="P71" s="18"/>
      <x:c r="Q71" s="18" t="str">
        <x:f>IF(OR(L71="",P71="",P71="未结算"),"",SWITCH(P71,"赢",L71*M71,"输",0,"走水",L71,"取消",L71,"半赢",L71*(1+(M71-1)/2),"半输",L71*0.5,""))</x:f>
      </x:c>
      <x:c r="R71" s="18" t="str">
        <x:f>IF(Q71="","",Q71-L71)</x:f>
      </x:c>
      <x:c r="S71" s="20" t="str">
        <x:f>IF(OR(L71="",R71=""),"",R71/L71)</x:f>
      </x:c>
      <x:c r="T71" s="18" t="str">
        <x:f>IF(R71="","",'参数'!$B$3+SUM($R$3:R71))</x:f>
      </x:c>
      <x:c r="U71" s="16"/>
      <x:c r="V71" s="16"/>
      <x:c r="W71" s="16"/>
    </x:row>
    <x:row r="72" ht="22.5" customHeight="1">
      <x:c r="A72" s="16" t="str">
        <x:f>IF(C72="","",ROW()-2)</x:f>
      </x:c>
      <x:c r="B72" s="21"/>
      <x:c r="C72" s="16"/>
      <x:c r="D72" s="21"/>
      <x:c r="E72" s="16"/>
      <x:c r="F72" s="16"/>
      <x:c r="G72" s="16"/>
      <x:c r="H72" s="16"/>
      <x:c r="I72" s="16"/>
      <x:c r="J72" s="16"/>
      <x:c r="K72" s="18" t="str">
        <x:f>IF(L72="","",'参数'!$B$3+IF(ROW()=3,0,SUM($R$3:INDEX($R:$R,ROW()-1))))</x:f>
      </x:c>
      <x:c r="L72" s="18"/>
      <x:c r="M72" s="19"/>
      <x:c r="N72" s="20" t="str">
        <x:f>IF(OR(L72="",K72=""),"",L72/K72)</x:f>
      </x:c>
      <x:c r="O72" s="18" t="str">
        <x:f>IF(OR(L72="",M72=""),"",L72*M72)</x:f>
      </x:c>
      <x:c r="P72" s="18"/>
      <x:c r="Q72" s="18" t="str">
        <x:f>IF(OR(L72="",P72="",P72="未结算"),"",SWITCH(P72,"赢",L72*M72,"输",0,"走水",L72,"取消",L72,"半赢",L72*(1+(M72-1)/2),"半输",L72*0.5,""))</x:f>
      </x:c>
      <x:c r="R72" s="18" t="str">
        <x:f>IF(Q72="","",Q72-L72)</x:f>
      </x:c>
      <x:c r="S72" s="20" t="str">
        <x:f>IF(OR(L72="",R72=""),"",R72/L72)</x:f>
      </x:c>
      <x:c r="T72" s="18" t="str">
        <x:f>IF(R72="","",'参数'!$B$3+SUM($R$3:R72))</x:f>
      </x:c>
      <x:c r="U72" s="16"/>
      <x:c r="V72" s="16"/>
      <x:c r="W72" s="16"/>
    </x:row>
    <x:row r="73" ht="22.5" customHeight="1">
      <x:c r="A73" s="16" t="str">
        <x:f>IF(C73="","",ROW()-2)</x:f>
      </x:c>
      <x:c r="B73" s="21"/>
      <x:c r="C73" s="16"/>
      <x:c r="D73" s="21"/>
      <x:c r="E73" s="16"/>
      <x:c r="F73" s="16"/>
      <x:c r="G73" s="16"/>
      <x:c r="H73" s="16"/>
      <x:c r="I73" s="16"/>
      <x:c r="J73" s="16"/>
      <x:c r="K73" s="18" t="str">
        <x:f>IF(L73="","",'参数'!$B$3+IF(ROW()=3,0,SUM($R$3:INDEX($R:$R,ROW()-1))))</x:f>
      </x:c>
      <x:c r="L73" s="18"/>
      <x:c r="M73" s="19"/>
      <x:c r="N73" s="20" t="str">
        <x:f>IF(OR(L73="",K73=""),"",L73/K73)</x:f>
      </x:c>
      <x:c r="O73" s="18" t="str">
        <x:f>IF(OR(L73="",M73=""),"",L73*M73)</x:f>
      </x:c>
      <x:c r="P73" s="18"/>
      <x:c r="Q73" s="18" t="str">
        <x:f>IF(OR(L73="",P73="",P73="未结算"),"",SWITCH(P73,"赢",L73*M73,"输",0,"走水",L73,"取消",L73,"半赢",L73*(1+(M73-1)/2),"半输",L73*0.5,""))</x:f>
      </x:c>
      <x:c r="R73" s="18" t="str">
        <x:f>IF(Q73="","",Q73-L73)</x:f>
      </x:c>
      <x:c r="S73" s="20" t="str">
        <x:f>IF(OR(L73="",R73=""),"",R73/L73)</x:f>
      </x:c>
      <x:c r="T73" s="18" t="str">
        <x:f>IF(R73="","",'参数'!$B$3+SUM($R$3:R73))</x:f>
      </x:c>
      <x:c r="U73" s="16"/>
      <x:c r="V73" s="16"/>
      <x:c r="W73" s="16"/>
    </x:row>
    <x:row r="74" ht="22.5" customHeight="1">
      <x:c r="A74" s="16" t="str">
        <x:f>IF(C74="","",ROW()-2)</x:f>
      </x:c>
      <x:c r="B74" s="21"/>
      <x:c r="C74" s="16"/>
      <x:c r="D74" s="21"/>
      <x:c r="E74" s="16"/>
      <x:c r="F74" s="16"/>
      <x:c r="G74" s="16"/>
      <x:c r="H74" s="16"/>
      <x:c r="I74" s="16"/>
      <x:c r="J74" s="16"/>
      <x:c r="K74" s="18" t="str">
        <x:f>IF(L74="","",'参数'!$B$3+IF(ROW()=3,0,SUM($R$3:INDEX($R:$R,ROW()-1))))</x:f>
      </x:c>
      <x:c r="L74" s="18"/>
      <x:c r="M74" s="19"/>
      <x:c r="N74" s="20" t="str">
        <x:f>IF(OR(L74="",K74=""),"",L74/K74)</x:f>
      </x:c>
      <x:c r="O74" s="18" t="str">
        <x:f>IF(OR(L74="",M74=""),"",L74*M74)</x:f>
      </x:c>
      <x:c r="P74" s="18"/>
      <x:c r="Q74" s="18" t="str">
        <x:f>IF(OR(L74="",P74="",P74="未结算"),"",SWITCH(P74,"赢",L74*M74,"输",0,"走水",L74,"取消",L74,"半赢",L74*(1+(M74-1)/2),"半输",L74*0.5,""))</x:f>
      </x:c>
      <x:c r="R74" s="18" t="str">
        <x:f>IF(Q74="","",Q74-L74)</x:f>
      </x:c>
      <x:c r="S74" s="20" t="str">
        <x:f>IF(OR(L74="",R74=""),"",R74/L74)</x:f>
      </x:c>
      <x:c r="T74" s="18" t="str">
        <x:f>IF(R74="","",'参数'!$B$3+SUM($R$3:R74))</x:f>
      </x:c>
      <x:c r="U74" s="16"/>
      <x:c r="V74" s="16"/>
      <x:c r="W74" s="16"/>
    </x:row>
    <x:row r="75" ht="22.5" customHeight="1">
      <x:c r="A75" s="16" t="str">
        <x:f>IF(C75="","",ROW()-2)</x:f>
      </x:c>
      <x:c r="B75" s="21"/>
      <x:c r="C75" s="16"/>
      <x:c r="D75" s="21"/>
      <x:c r="E75" s="16"/>
      <x:c r="F75" s="16"/>
      <x:c r="G75" s="16"/>
      <x:c r="H75" s="16"/>
      <x:c r="I75" s="16"/>
      <x:c r="J75" s="16"/>
      <x:c r="K75" s="18" t="str">
        <x:f>IF(L75="","",'参数'!$B$3+IF(ROW()=3,0,SUM($R$3:INDEX($R:$R,ROW()-1))))</x:f>
      </x:c>
      <x:c r="L75" s="18"/>
      <x:c r="M75" s="19"/>
      <x:c r="N75" s="20" t="str">
        <x:f>IF(OR(L75="",K75=""),"",L75/K75)</x:f>
      </x:c>
      <x:c r="O75" s="18" t="str">
        <x:f>IF(OR(L75="",M75=""),"",L75*M75)</x:f>
      </x:c>
      <x:c r="P75" s="18"/>
      <x:c r="Q75" s="18" t="str">
        <x:f>IF(OR(L75="",P75="",P75="未结算"),"",SWITCH(P75,"赢",L75*M75,"输",0,"走水",L75,"取消",L75,"半赢",L75*(1+(M75-1)/2),"半输",L75*0.5,""))</x:f>
      </x:c>
      <x:c r="R75" s="18" t="str">
        <x:f>IF(Q75="","",Q75-L75)</x:f>
      </x:c>
      <x:c r="S75" s="20" t="str">
        <x:f>IF(OR(L75="",R75=""),"",R75/L75)</x:f>
      </x:c>
      <x:c r="T75" s="18" t="str">
        <x:f>IF(R75="","",'参数'!$B$3+SUM($R$3:R75))</x:f>
      </x:c>
      <x:c r="U75" s="16"/>
      <x:c r="V75" s="16"/>
      <x:c r="W75" s="16"/>
    </x:row>
    <x:row r="76" ht="22.5" customHeight="1">
      <x:c r="A76" s="16" t="str">
        <x:f>IF(C76="","",ROW()-2)</x:f>
      </x:c>
      <x:c r="B76" s="21"/>
      <x:c r="C76" s="16"/>
      <x:c r="D76" s="21"/>
      <x:c r="E76" s="16"/>
      <x:c r="F76" s="16"/>
      <x:c r="G76" s="16"/>
      <x:c r="H76" s="16"/>
      <x:c r="I76" s="16"/>
      <x:c r="J76" s="16"/>
      <x:c r="K76" s="18" t="str">
        <x:f>IF(L76="","",'参数'!$B$3+IF(ROW()=3,0,SUM($R$3:INDEX($R:$R,ROW()-1))))</x:f>
      </x:c>
      <x:c r="L76" s="18"/>
      <x:c r="M76" s="19"/>
      <x:c r="N76" s="20" t="str">
        <x:f>IF(OR(L76="",K76=""),"",L76/K76)</x:f>
      </x:c>
      <x:c r="O76" s="18" t="str">
        <x:f>IF(OR(L76="",M76=""),"",L76*M76)</x:f>
      </x:c>
      <x:c r="P76" s="18"/>
      <x:c r="Q76" s="18" t="str">
        <x:f>IF(OR(L76="",P76="",P76="未结算"),"",SWITCH(P76,"赢",L76*M76,"输",0,"走水",L76,"取消",L76,"半赢",L76*(1+(M76-1)/2),"半输",L76*0.5,""))</x:f>
      </x:c>
      <x:c r="R76" s="18" t="str">
        <x:f>IF(Q76="","",Q76-L76)</x:f>
      </x:c>
      <x:c r="S76" s="20" t="str">
        <x:f>IF(OR(L76="",R76=""),"",R76/L76)</x:f>
      </x:c>
      <x:c r="T76" s="18" t="str">
        <x:f>IF(R76="","",'参数'!$B$3+SUM($R$3:R76))</x:f>
      </x:c>
      <x:c r="U76" s="16"/>
      <x:c r="V76" s="16"/>
      <x:c r="W76" s="16"/>
    </x:row>
    <x:row r="77" ht="22.5" customHeight="1">
      <x:c r="A77" s="16" t="str">
        <x:f>IF(C77="","",ROW()-2)</x:f>
      </x:c>
      <x:c r="B77" s="21"/>
      <x:c r="C77" s="16"/>
      <x:c r="D77" s="21"/>
      <x:c r="E77" s="16"/>
      <x:c r="F77" s="16"/>
      <x:c r="G77" s="16"/>
      <x:c r="H77" s="16"/>
      <x:c r="I77" s="16"/>
      <x:c r="J77" s="16"/>
      <x:c r="K77" s="18" t="str">
        <x:f>IF(L77="","",'参数'!$B$3+IF(ROW()=3,0,SUM($R$3:INDEX($R:$R,ROW()-1))))</x:f>
      </x:c>
      <x:c r="L77" s="18"/>
      <x:c r="M77" s="19"/>
      <x:c r="N77" s="20" t="str">
        <x:f>IF(OR(L77="",K77=""),"",L77/K77)</x:f>
      </x:c>
      <x:c r="O77" s="18" t="str">
        <x:f>IF(OR(L77="",M77=""),"",L77*M77)</x:f>
      </x:c>
      <x:c r="P77" s="18"/>
      <x:c r="Q77" s="18" t="str">
        <x:f>IF(OR(L77="",P77="",P77="未结算"),"",SWITCH(P77,"赢",L77*M77,"输",0,"走水",L77,"取消",L77,"半赢",L77*(1+(M77-1)/2),"半输",L77*0.5,""))</x:f>
      </x:c>
      <x:c r="R77" s="18" t="str">
        <x:f>IF(Q77="","",Q77-L77)</x:f>
      </x:c>
      <x:c r="S77" s="20" t="str">
        <x:f>IF(OR(L77="",R77=""),"",R77/L77)</x:f>
      </x:c>
      <x:c r="T77" s="18" t="str">
        <x:f>IF(R77="","",'参数'!$B$3+SUM($R$3:R77))</x:f>
      </x:c>
      <x:c r="U77" s="16"/>
      <x:c r="V77" s="16"/>
      <x:c r="W77" s="16"/>
    </x:row>
    <x:row r="78" ht="22.5" customHeight="1">
      <x:c r="A78" s="16" t="str">
        <x:f>IF(C78="","",ROW()-2)</x:f>
      </x:c>
      <x:c r="B78" s="21"/>
      <x:c r="C78" s="16"/>
      <x:c r="D78" s="21"/>
      <x:c r="E78" s="16"/>
      <x:c r="F78" s="16"/>
      <x:c r="G78" s="16"/>
      <x:c r="H78" s="16"/>
      <x:c r="I78" s="16"/>
      <x:c r="J78" s="16"/>
      <x:c r="K78" s="18" t="str">
        <x:f>IF(L78="","",'参数'!$B$3+IF(ROW()=3,0,SUM($R$3:INDEX($R:$R,ROW()-1))))</x:f>
      </x:c>
      <x:c r="L78" s="18"/>
      <x:c r="M78" s="19"/>
      <x:c r="N78" s="20" t="str">
        <x:f>IF(OR(L78="",K78=""),"",L78/K78)</x:f>
      </x:c>
      <x:c r="O78" s="18" t="str">
        <x:f>IF(OR(L78="",M78=""),"",L78*M78)</x:f>
      </x:c>
      <x:c r="P78" s="18"/>
      <x:c r="Q78" s="18" t="str">
        <x:f>IF(OR(L78="",P78="",P78="未结算"),"",SWITCH(P78,"赢",L78*M78,"输",0,"走水",L78,"取消",L78,"半赢",L78*(1+(M78-1)/2),"半输",L78*0.5,""))</x:f>
      </x:c>
      <x:c r="R78" s="18" t="str">
        <x:f>IF(Q78="","",Q78-L78)</x:f>
      </x:c>
      <x:c r="S78" s="20" t="str">
        <x:f>IF(OR(L78="",R78=""),"",R78/L78)</x:f>
      </x:c>
      <x:c r="T78" s="18" t="str">
        <x:f>IF(R78="","",'参数'!$B$3+SUM($R$3:R78))</x:f>
      </x:c>
      <x:c r="U78" s="16"/>
      <x:c r="V78" s="16"/>
      <x:c r="W78" s="16"/>
    </x:row>
    <x:row r="79" ht="22.5" customHeight="1">
      <x:c r="A79" s="16" t="str">
        <x:f>IF(C79="","",ROW()-2)</x:f>
      </x:c>
      <x:c r="B79" s="21"/>
      <x:c r="C79" s="16"/>
      <x:c r="D79" s="21"/>
      <x:c r="E79" s="16"/>
      <x:c r="F79" s="16"/>
      <x:c r="G79" s="16"/>
      <x:c r="H79" s="16"/>
      <x:c r="I79" s="16"/>
      <x:c r="J79" s="16"/>
      <x:c r="K79" s="18" t="str">
        <x:f>IF(L79="","",'参数'!$B$3+IF(ROW()=3,0,SUM($R$3:INDEX($R:$R,ROW()-1))))</x:f>
      </x:c>
      <x:c r="L79" s="18"/>
      <x:c r="M79" s="19"/>
      <x:c r="N79" s="20" t="str">
        <x:f>IF(OR(L79="",K79=""),"",L79/K79)</x:f>
      </x:c>
      <x:c r="O79" s="18" t="str">
        <x:f>IF(OR(L79="",M79=""),"",L79*M79)</x:f>
      </x:c>
      <x:c r="P79" s="18"/>
      <x:c r="Q79" s="18" t="str">
        <x:f>IF(OR(L79="",P79="",P79="未结算"),"",SWITCH(P79,"赢",L79*M79,"输",0,"走水",L79,"取消",L79,"半赢",L79*(1+(M79-1)/2),"半输",L79*0.5,""))</x:f>
      </x:c>
      <x:c r="R79" s="18" t="str">
        <x:f>IF(Q79="","",Q79-L79)</x:f>
      </x:c>
      <x:c r="S79" s="20" t="str">
        <x:f>IF(OR(L79="",R79=""),"",R79/L79)</x:f>
      </x:c>
      <x:c r="T79" s="18" t="str">
        <x:f>IF(R79="","",'参数'!$B$3+SUM($R$3:R79))</x:f>
      </x:c>
      <x:c r="U79" s="16"/>
      <x:c r="V79" s="16"/>
      <x:c r="W79" s="16"/>
    </x:row>
    <x:row r="80" ht="22.5" customHeight="1">
      <x:c r="A80" s="16" t="str">
        <x:f>IF(C80="","",ROW()-2)</x:f>
      </x:c>
      <x:c r="B80" s="21"/>
      <x:c r="C80" s="16"/>
      <x:c r="D80" s="21"/>
      <x:c r="E80" s="16"/>
      <x:c r="F80" s="16"/>
      <x:c r="G80" s="16"/>
      <x:c r="H80" s="16"/>
      <x:c r="I80" s="16"/>
      <x:c r="J80" s="16"/>
      <x:c r="K80" s="18" t="str">
        <x:f>IF(L80="","",'参数'!$B$3+IF(ROW()=3,0,SUM($R$3:INDEX($R:$R,ROW()-1))))</x:f>
      </x:c>
      <x:c r="L80" s="18"/>
      <x:c r="M80" s="19"/>
      <x:c r="N80" s="20" t="str">
        <x:f>IF(OR(L80="",K80=""),"",L80/K80)</x:f>
      </x:c>
      <x:c r="O80" s="18" t="str">
        <x:f>IF(OR(L80="",M80=""),"",L80*M80)</x:f>
      </x:c>
      <x:c r="P80" s="18"/>
      <x:c r="Q80" s="18" t="str">
        <x:f>IF(OR(L80="",P80="",P80="未结算"),"",SWITCH(P80,"赢",L80*M80,"输",0,"走水",L80,"取消",L80,"半赢",L80*(1+(M80-1)/2),"半输",L80*0.5,""))</x:f>
      </x:c>
      <x:c r="R80" s="18" t="str">
        <x:f>IF(Q80="","",Q80-L80)</x:f>
      </x:c>
      <x:c r="S80" s="20" t="str">
        <x:f>IF(OR(L80="",R80=""),"",R80/L80)</x:f>
      </x:c>
      <x:c r="T80" s="18" t="str">
        <x:f>IF(R80="","",'参数'!$B$3+SUM($R$3:R80))</x:f>
      </x:c>
      <x:c r="U80" s="16"/>
      <x:c r="V80" s="16"/>
      <x:c r="W80" s="16"/>
    </x:row>
    <x:row r="81" ht="22.5" customHeight="1">
      <x:c r="A81" s="16" t="str">
        <x:f>IF(C81="","",ROW()-2)</x:f>
      </x:c>
      <x:c r="B81" s="21"/>
      <x:c r="C81" s="16"/>
      <x:c r="D81" s="21"/>
      <x:c r="E81" s="16"/>
      <x:c r="F81" s="16"/>
      <x:c r="G81" s="16"/>
      <x:c r="H81" s="16"/>
      <x:c r="I81" s="16"/>
      <x:c r="J81" s="16"/>
      <x:c r="K81" s="18" t="str">
        <x:f>IF(L81="","",'参数'!$B$3+IF(ROW()=3,0,SUM($R$3:INDEX($R:$R,ROW()-1))))</x:f>
      </x:c>
      <x:c r="L81" s="18"/>
      <x:c r="M81" s="19"/>
      <x:c r="N81" s="20" t="str">
        <x:f>IF(OR(L81="",K81=""),"",L81/K81)</x:f>
      </x:c>
      <x:c r="O81" s="18" t="str">
        <x:f>IF(OR(L81="",M81=""),"",L81*M81)</x:f>
      </x:c>
      <x:c r="P81" s="18"/>
      <x:c r="Q81" s="18" t="str">
        <x:f>IF(OR(L81="",P81="",P81="未结算"),"",SWITCH(P81,"赢",L81*M81,"输",0,"走水",L81,"取消",L81,"半赢",L81*(1+(M81-1)/2),"半输",L81*0.5,""))</x:f>
      </x:c>
      <x:c r="R81" s="18" t="str">
        <x:f>IF(Q81="","",Q81-L81)</x:f>
      </x:c>
      <x:c r="S81" s="20" t="str">
        <x:f>IF(OR(L81="",R81=""),"",R81/L81)</x:f>
      </x:c>
      <x:c r="T81" s="18" t="str">
        <x:f>IF(R81="","",'参数'!$B$3+SUM($R$3:R81))</x:f>
      </x:c>
      <x:c r="U81" s="16"/>
      <x:c r="V81" s="16"/>
      <x:c r="W81" s="16"/>
    </x:row>
    <x:row r="82" ht="22.5" customHeight="1">
      <x:c r="A82" s="16" t="str">
        <x:f>IF(C82="","",ROW()-2)</x:f>
      </x:c>
      <x:c r="B82" s="21"/>
      <x:c r="C82" s="16"/>
      <x:c r="D82" s="21"/>
      <x:c r="E82" s="16"/>
      <x:c r="F82" s="16"/>
      <x:c r="G82" s="16"/>
      <x:c r="H82" s="16"/>
      <x:c r="I82" s="16"/>
      <x:c r="J82" s="16"/>
      <x:c r="K82" s="18" t="str">
        <x:f>IF(L82="","",'参数'!$B$3+IF(ROW()=3,0,SUM($R$3:INDEX($R:$R,ROW()-1))))</x:f>
      </x:c>
      <x:c r="L82" s="18"/>
      <x:c r="M82" s="19"/>
      <x:c r="N82" s="20" t="str">
        <x:f>IF(OR(L82="",K82=""),"",L82/K82)</x:f>
      </x:c>
      <x:c r="O82" s="18" t="str">
        <x:f>IF(OR(L82="",M82=""),"",L82*M82)</x:f>
      </x:c>
      <x:c r="P82" s="18"/>
      <x:c r="Q82" s="18" t="str">
        <x:f>IF(OR(L82="",P82="",P82="未结算"),"",SWITCH(P82,"赢",L82*M82,"输",0,"走水",L82,"取消",L82,"半赢",L82*(1+(M82-1)/2),"半输",L82*0.5,""))</x:f>
      </x:c>
      <x:c r="R82" s="18" t="str">
        <x:f>IF(Q82="","",Q82-L82)</x:f>
      </x:c>
      <x:c r="S82" s="20" t="str">
        <x:f>IF(OR(L82="",R82=""),"",R82/L82)</x:f>
      </x:c>
      <x:c r="T82" s="18" t="str">
        <x:f>IF(R82="","",'参数'!$B$3+SUM($R$3:R82))</x:f>
      </x:c>
      <x:c r="U82" s="16"/>
      <x:c r="V82" s="16"/>
      <x:c r="W82" s="16"/>
    </x:row>
    <x:row r="83" ht="22.5" customHeight="1">
      <x:c r="A83" s="16" t="str">
        <x:f>IF(C83="","",ROW()-2)</x:f>
      </x:c>
      <x:c r="B83" s="21"/>
      <x:c r="C83" s="16"/>
      <x:c r="D83" s="21"/>
      <x:c r="E83" s="16"/>
      <x:c r="F83" s="16"/>
      <x:c r="G83" s="16"/>
      <x:c r="H83" s="16"/>
      <x:c r="I83" s="16"/>
      <x:c r="J83" s="16"/>
      <x:c r="K83" s="18" t="str">
        <x:f>IF(L83="","",'参数'!$B$3+IF(ROW()=3,0,SUM($R$3:INDEX($R:$R,ROW()-1))))</x:f>
      </x:c>
      <x:c r="L83" s="18"/>
      <x:c r="M83" s="19"/>
      <x:c r="N83" s="20" t="str">
        <x:f>IF(OR(L83="",K83=""),"",L83/K83)</x:f>
      </x:c>
      <x:c r="O83" s="18" t="str">
        <x:f>IF(OR(L83="",M83=""),"",L83*M83)</x:f>
      </x:c>
      <x:c r="P83" s="18"/>
      <x:c r="Q83" s="18" t="str">
        <x:f>IF(OR(L83="",P83="",P83="未结算"),"",SWITCH(P83,"赢",L83*M83,"输",0,"走水",L83,"取消",L83,"半赢",L83*(1+(M83-1)/2),"半输",L83*0.5,""))</x:f>
      </x:c>
      <x:c r="R83" s="18" t="str">
        <x:f>IF(Q83="","",Q83-L83)</x:f>
      </x:c>
      <x:c r="S83" s="20" t="str">
        <x:f>IF(OR(L83="",R83=""),"",R83/L83)</x:f>
      </x:c>
      <x:c r="T83" s="18" t="str">
        <x:f>IF(R83="","",'参数'!$B$3+SUM($R$3:R83))</x:f>
      </x:c>
      <x:c r="U83" s="16"/>
      <x:c r="V83" s="16"/>
      <x:c r="W83" s="16"/>
    </x:row>
    <x:row r="84" ht="22.5" customHeight="1">
      <x:c r="A84" s="16" t="str">
        <x:f>IF(C84="","",ROW()-2)</x:f>
      </x:c>
      <x:c r="B84" s="21"/>
      <x:c r="C84" s="16"/>
      <x:c r="D84" s="21"/>
      <x:c r="E84" s="16"/>
      <x:c r="F84" s="16"/>
      <x:c r="G84" s="16"/>
      <x:c r="H84" s="16"/>
      <x:c r="I84" s="16"/>
      <x:c r="J84" s="16"/>
      <x:c r="K84" s="18" t="str">
        <x:f>IF(L84="","",'参数'!$B$3+IF(ROW()=3,0,SUM($R$3:INDEX($R:$R,ROW()-1))))</x:f>
      </x:c>
      <x:c r="L84" s="18"/>
      <x:c r="M84" s="19"/>
      <x:c r="N84" s="20" t="str">
        <x:f>IF(OR(L84="",K84=""),"",L84/K84)</x:f>
      </x:c>
      <x:c r="O84" s="18" t="str">
        <x:f>IF(OR(L84="",M84=""),"",L84*M84)</x:f>
      </x:c>
      <x:c r="P84" s="18"/>
      <x:c r="Q84" s="18" t="str">
        <x:f>IF(OR(L84="",P84="",P84="未结算"),"",SWITCH(P84,"赢",L84*M84,"输",0,"走水",L84,"取消",L84,"半赢",L84*(1+(M84-1)/2),"半输",L84*0.5,""))</x:f>
      </x:c>
      <x:c r="R84" s="18" t="str">
        <x:f>IF(Q84="","",Q84-L84)</x:f>
      </x:c>
      <x:c r="S84" s="20" t="str">
        <x:f>IF(OR(L84="",R84=""),"",R84/L84)</x:f>
      </x:c>
      <x:c r="T84" s="18" t="str">
        <x:f>IF(R84="","",'参数'!$B$3+SUM($R$3:R84))</x:f>
      </x:c>
      <x:c r="U84" s="16"/>
      <x:c r="V84" s="16"/>
      <x:c r="W84" s="16"/>
    </x:row>
    <x:row r="85" ht="22.5" customHeight="1">
      <x:c r="A85" s="16" t="str">
        <x:f>IF(C85="","",ROW()-2)</x:f>
      </x:c>
      <x:c r="B85" s="21"/>
      <x:c r="C85" s="16"/>
      <x:c r="D85" s="21"/>
      <x:c r="E85" s="16"/>
      <x:c r="F85" s="16"/>
      <x:c r="G85" s="16"/>
      <x:c r="H85" s="16"/>
      <x:c r="I85" s="16"/>
      <x:c r="J85" s="16"/>
      <x:c r="K85" s="18" t="str">
        <x:f>IF(L85="","",'参数'!$B$3+IF(ROW()=3,0,SUM($R$3:INDEX($R:$R,ROW()-1))))</x:f>
      </x:c>
      <x:c r="L85" s="18"/>
      <x:c r="M85" s="19"/>
      <x:c r="N85" s="20" t="str">
        <x:f>IF(OR(L85="",K85=""),"",L85/K85)</x:f>
      </x:c>
      <x:c r="O85" s="18" t="str">
        <x:f>IF(OR(L85="",M85=""),"",L85*M85)</x:f>
      </x:c>
      <x:c r="P85" s="18"/>
      <x:c r="Q85" s="18" t="str">
        <x:f>IF(OR(L85="",P85="",P85="未结算"),"",SWITCH(P85,"赢",L85*M85,"输",0,"走水",L85,"取消",L85,"半赢",L85*(1+(M85-1)/2),"半输",L85*0.5,""))</x:f>
      </x:c>
      <x:c r="R85" s="18" t="str">
        <x:f>IF(Q85="","",Q85-L85)</x:f>
      </x:c>
      <x:c r="S85" s="20" t="str">
        <x:f>IF(OR(L85="",R85=""),"",R85/L85)</x:f>
      </x:c>
      <x:c r="T85" s="18" t="str">
        <x:f>IF(R85="","",'参数'!$B$3+SUM($R$3:R85))</x:f>
      </x:c>
      <x:c r="U85" s="16"/>
      <x:c r="V85" s="16"/>
      <x:c r="W85" s="16"/>
    </x:row>
    <x:row r="86" ht="22.5" customHeight="1">
      <x:c r="A86" s="16" t="str">
        <x:f>IF(C86="","",ROW()-2)</x:f>
      </x:c>
      <x:c r="B86" s="21"/>
      <x:c r="C86" s="16"/>
      <x:c r="D86" s="21"/>
      <x:c r="E86" s="16"/>
      <x:c r="F86" s="16"/>
      <x:c r="G86" s="16"/>
      <x:c r="H86" s="16"/>
      <x:c r="I86" s="16"/>
      <x:c r="J86" s="16"/>
      <x:c r="K86" s="18" t="str">
        <x:f>IF(L86="","",'参数'!$B$3+IF(ROW()=3,0,SUM($R$3:INDEX($R:$R,ROW()-1))))</x:f>
      </x:c>
      <x:c r="L86" s="18"/>
      <x:c r="M86" s="19"/>
      <x:c r="N86" s="20" t="str">
        <x:f>IF(OR(L86="",K86=""),"",L86/K86)</x:f>
      </x:c>
      <x:c r="O86" s="18" t="str">
        <x:f>IF(OR(L86="",M86=""),"",L86*M86)</x:f>
      </x:c>
      <x:c r="P86" s="18"/>
      <x:c r="Q86" s="18" t="str">
        <x:f>IF(OR(L86="",P86="",P86="未结算"),"",SWITCH(P86,"赢",L86*M86,"输",0,"走水",L86,"取消",L86,"半赢",L86*(1+(M86-1)/2),"半输",L86*0.5,""))</x:f>
      </x:c>
      <x:c r="R86" s="18" t="str">
        <x:f>IF(Q86="","",Q86-L86)</x:f>
      </x:c>
      <x:c r="S86" s="20" t="str">
        <x:f>IF(OR(L86="",R86=""),"",R86/L86)</x:f>
      </x:c>
      <x:c r="T86" s="18" t="str">
        <x:f>IF(R86="","",'参数'!$B$3+SUM($R$3:R86))</x:f>
      </x:c>
      <x:c r="U86" s="16"/>
      <x:c r="V86" s="16"/>
      <x:c r="W86" s="16"/>
    </x:row>
    <x:row r="87" ht="22.5" customHeight="1">
      <x:c r="A87" s="16" t="str">
        <x:f>IF(C87="","",ROW()-2)</x:f>
      </x:c>
      <x:c r="B87" s="21"/>
      <x:c r="C87" s="16"/>
      <x:c r="D87" s="21"/>
      <x:c r="E87" s="16"/>
      <x:c r="F87" s="16"/>
      <x:c r="G87" s="16"/>
      <x:c r="H87" s="16"/>
      <x:c r="I87" s="16"/>
      <x:c r="J87" s="16"/>
      <x:c r="K87" s="18" t="str">
        <x:f>IF(L87="","",'参数'!$B$3+IF(ROW()=3,0,SUM($R$3:INDEX($R:$R,ROW()-1))))</x:f>
      </x:c>
      <x:c r="L87" s="18"/>
      <x:c r="M87" s="19"/>
      <x:c r="N87" s="20" t="str">
        <x:f>IF(OR(L87="",K87=""),"",L87/K87)</x:f>
      </x:c>
      <x:c r="O87" s="18" t="str">
        <x:f>IF(OR(L87="",M87=""),"",L87*M87)</x:f>
      </x:c>
      <x:c r="P87" s="18"/>
      <x:c r="Q87" s="18" t="str">
        <x:f>IF(OR(L87="",P87="",P87="未结算"),"",SWITCH(P87,"赢",L87*M87,"输",0,"走水",L87,"取消",L87,"半赢",L87*(1+(M87-1)/2),"半输",L87*0.5,""))</x:f>
      </x:c>
      <x:c r="R87" s="18" t="str">
        <x:f>IF(Q87="","",Q87-L87)</x:f>
      </x:c>
      <x:c r="S87" s="20" t="str">
        <x:f>IF(OR(L87="",R87=""),"",R87/L87)</x:f>
      </x:c>
      <x:c r="T87" s="18" t="str">
        <x:f>IF(R87="","",'参数'!$B$3+SUM($R$3:R87))</x:f>
      </x:c>
      <x:c r="U87" s="16"/>
      <x:c r="V87" s="16"/>
      <x:c r="W87" s="16"/>
    </x:row>
    <x:row r="88" ht="22.5" customHeight="1">
      <x:c r="A88" s="16" t="str">
        <x:f>IF(C88="","",ROW()-2)</x:f>
      </x:c>
      <x:c r="B88" s="21"/>
      <x:c r="C88" s="16"/>
      <x:c r="D88" s="21"/>
      <x:c r="E88" s="16"/>
      <x:c r="F88" s="16"/>
      <x:c r="G88" s="16"/>
      <x:c r="H88" s="16"/>
      <x:c r="I88" s="16"/>
      <x:c r="J88" s="16"/>
      <x:c r="K88" s="18" t="str">
        <x:f>IF(L88="","",'参数'!$B$3+IF(ROW()=3,0,SUM($R$3:INDEX($R:$R,ROW()-1))))</x:f>
      </x:c>
      <x:c r="L88" s="18"/>
      <x:c r="M88" s="19"/>
      <x:c r="N88" s="20" t="str">
        <x:f>IF(OR(L88="",K88=""),"",L88/K88)</x:f>
      </x:c>
      <x:c r="O88" s="18" t="str">
        <x:f>IF(OR(L88="",M88=""),"",L88*M88)</x:f>
      </x:c>
      <x:c r="P88" s="18"/>
      <x:c r="Q88" s="18" t="str">
        <x:f>IF(OR(L88="",P88="",P88="未结算"),"",SWITCH(P88,"赢",L88*M88,"输",0,"走水",L88,"取消",L88,"半赢",L88*(1+(M88-1)/2),"半输",L88*0.5,""))</x:f>
      </x:c>
      <x:c r="R88" s="18" t="str">
        <x:f>IF(Q88="","",Q88-L88)</x:f>
      </x:c>
      <x:c r="S88" s="20" t="str">
        <x:f>IF(OR(L88="",R88=""),"",R88/L88)</x:f>
      </x:c>
      <x:c r="T88" s="18" t="str">
        <x:f>IF(R88="","",'参数'!$B$3+SUM($R$3:R88))</x:f>
      </x:c>
      <x:c r="U88" s="16"/>
      <x:c r="V88" s="16"/>
      <x:c r="W88" s="16"/>
    </x:row>
    <x:row r="89" ht="22.5" customHeight="1">
      <x:c r="A89" s="16" t="str">
        <x:f>IF(C89="","",ROW()-2)</x:f>
      </x:c>
      <x:c r="B89" s="21"/>
      <x:c r="C89" s="16"/>
      <x:c r="D89" s="21"/>
      <x:c r="E89" s="16"/>
      <x:c r="F89" s="16"/>
      <x:c r="G89" s="16"/>
      <x:c r="H89" s="16"/>
      <x:c r="I89" s="16"/>
      <x:c r="J89" s="16"/>
      <x:c r="K89" s="18" t="str">
        <x:f>IF(L89="","",'参数'!$B$3+IF(ROW()=3,0,SUM($R$3:INDEX($R:$R,ROW()-1))))</x:f>
      </x:c>
      <x:c r="L89" s="18"/>
      <x:c r="M89" s="19"/>
      <x:c r="N89" s="20" t="str">
        <x:f>IF(OR(L89="",K89=""),"",L89/K89)</x:f>
      </x:c>
      <x:c r="O89" s="18" t="str">
        <x:f>IF(OR(L89="",M89=""),"",L89*M89)</x:f>
      </x:c>
      <x:c r="P89" s="18"/>
      <x:c r="Q89" s="18" t="str">
        <x:f>IF(OR(L89="",P89="",P89="未结算"),"",SWITCH(P89,"赢",L89*M89,"输",0,"走水",L89,"取消",L89,"半赢",L89*(1+(M89-1)/2),"半输",L89*0.5,""))</x:f>
      </x:c>
      <x:c r="R89" s="18" t="str">
        <x:f>IF(Q89="","",Q89-L89)</x:f>
      </x:c>
      <x:c r="S89" s="20" t="str">
        <x:f>IF(OR(L89="",R89=""),"",R89/L89)</x:f>
      </x:c>
      <x:c r="T89" s="18" t="str">
        <x:f>IF(R89="","",'参数'!$B$3+SUM($R$3:R89))</x:f>
      </x:c>
      <x:c r="U89" s="16"/>
      <x:c r="V89" s="16"/>
      <x:c r="W89" s="16"/>
    </x:row>
    <x:row r="90" ht="22.5" customHeight="1">
      <x:c r="A90" s="16" t="str">
        <x:f>IF(C90="","",ROW()-2)</x:f>
      </x:c>
      <x:c r="B90" s="21"/>
      <x:c r="C90" s="16"/>
      <x:c r="D90" s="21"/>
      <x:c r="E90" s="16"/>
      <x:c r="F90" s="16"/>
      <x:c r="G90" s="16"/>
      <x:c r="H90" s="16"/>
      <x:c r="I90" s="16"/>
      <x:c r="J90" s="16"/>
      <x:c r="K90" s="18" t="str">
        <x:f>IF(L90="","",'参数'!$B$3+IF(ROW()=3,0,SUM($R$3:INDEX($R:$R,ROW()-1))))</x:f>
      </x:c>
      <x:c r="L90" s="18"/>
      <x:c r="M90" s="19"/>
      <x:c r="N90" s="20" t="str">
        <x:f>IF(OR(L90="",K90=""),"",L90/K90)</x:f>
      </x:c>
      <x:c r="O90" s="18" t="str">
        <x:f>IF(OR(L90="",M90=""),"",L90*M90)</x:f>
      </x:c>
      <x:c r="P90" s="18"/>
      <x:c r="Q90" s="18" t="str">
        <x:f>IF(OR(L90="",P90="",P90="未结算"),"",SWITCH(P90,"赢",L90*M90,"输",0,"走水",L90,"取消",L90,"半赢",L90*(1+(M90-1)/2),"半输",L90*0.5,""))</x:f>
      </x:c>
      <x:c r="R90" s="18" t="str">
        <x:f>IF(Q90="","",Q90-L90)</x:f>
      </x:c>
      <x:c r="S90" s="20" t="str">
        <x:f>IF(OR(L90="",R90=""),"",R90/L90)</x:f>
      </x:c>
      <x:c r="T90" s="18" t="str">
        <x:f>IF(R90="","",'参数'!$B$3+SUM($R$3:R90))</x:f>
      </x:c>
      <x:c r="U90" s="16"/>
      <x:c r="V90" s="16"/>
      <x:c r="W90" s="16"/>
    </x:row>
    <x:row r="91" ht="22.5" customHeight="1">
      <x:c r="A91" s="16" t="str">
        <x:f>IF(C91="","",ROW()-2)</x:f>
      </x:c>
      <x:c r="B91" s="21"/>
      <x:c r="C91" s="16"/>
      <x:c r="D91" s="21"/>
      <x:c r="E91" s="16"/>
      <x:c r="F91" s="16"/>
      <x:c r="G91" s="16"/>
      <x:c r="H91" s="16"/>
      <x:c r="I91" s="16"/>
      <x:c r="J91" s="16"/>
      <x:c r="K91" s="18" t="str">
        <x:f>IF(L91="","",'参数'!$B$3+IF(ROW()=3,0,SUM($R$3:INDEX($R:$R,ROW()-1))))</x:f>
      </x:c>
      <x:c r="L91" s="18"/>
      <x:c r="M91" s="19"/>
      <x:c r="N91" s="20" t="str">
        <x:f>IF(OR(L91="",K91=""),"",L91/K91)</x:f>
      </x:c>
      <x:c r="O91" s="18" t="str">
        <x:f>IF(OR(L91="",M91=""),"",L91*M91)</x:f>
      </x:c>
      <x:c r="P91" s="18"/>
      <x:c r="Q91" s="18" t="str">
        <x:f>IF(OR(L91="",P91="",P91="未结算"),"",SWITCH(P91,"赢",L91*M91,"输",0,"走水",L91,"取消",L91,"半赢",L91*(1+(M91-1)/2),"半输",L91*0.5,""))</x:f>
      </x:c>
      <x:c r="R91" s="18" t="str">
        <x:f>IF(Q91="","",Q91-L91)</x:f>
      </x:c>
      <x:c r="S91" s="20" t="str">
        <x:f>IF(OR(L91="",R91=""),"",R91/L91)</x:f>
      </x:c>
      <x:c r="T91" s="18" t="str">
        <x:f>IF(R91="","",'参数'!$B$3+SUM($R$3:R91))</x:f>
      </x:c>
      <x:c r="U91" s="16"/>
      <x:c r="V91" s="16"/>
      <x:c r="W91" s="16"/>
    </x:row>
    <x:row r="92" ht="22.5" customHeight="1">
      <x:c r="A92" s="16" t="str">
        <x:f>IF(C92="","",ROW()-2)</x:f>
      </x:c>
      <x:c r="B92" s="21"/>
      <x:c r="C92" s="16"/>
      <x:c r="D92" s="21"/>
      <x:c r="E92" s="16"/>
      <x:c r="F92" s="16"/>
      <x:c r="G92" s="16"/>
      <x:c r="H92" s="16"/>
      <x:c r="I92" s="16"/>
      <x:c r="J92" s="16"/>
      <x:c r="K92" s="18" t="str">
        <x:f>IF(L92="","",'参数'!$B$3+IF(ROW()=3,0,SUM($R$3:INDEX($R:$R,ROW()-1))))</x:f>
      </x:c>
      <x:c r="L92" s="18"/>
      <x:c r="M92" s="19"/>
      <x:c r="N92" s="20" t="str">
        <x:f>IF(OR(L92="",K92=""),"",L92/K92)</x:f>
      </x:c>
      <x:c r="O92" s="18" t="str">
        <x:f>IF(OR(L92="",M92=""),"",L92*M92)</x:f>
      </x:c>
      <x:c r="P92" s="18"/>
      <x:c r="Q92" s="18" t="str">
        <x:f>IF(OR(L92="",P92="",P92="未结算"),"",SWITCH(P92,"赢",L92*M92,"输",0,"走水",L92,"取消",L92,"半赢",L92*(1+(M92-1)/2),"半输",L92*0.5,""))</x:f>
      </x:c>
      <x:c r="R92" s="18" t="str">
        <x:f>IF(Q92="","",Q92-L92)</x:f>
      </x:c>
      <x:c r="S92" s="20" t="str">
        <x:f>IF(OR(L92="",R92=""),"",R92/L92)</x:f>
      </x:c>
      <x:c r="T92" s="18" t="str">
        <x:f>IF(R92="","",'参数'!$B$3+SUM($R$3:R92))</x:f>
      </x:c>
      <x:c r="U92" s="16"/>
      <x:c r="V92" s="16"/>
      <x:c r="W92" s="16"/>
    </x:row>
    <x:row r="93" ht="22.5" customHeight="1">
      <x:c r="A93" s="16" t="str">
        <x:f>IF(C93="","",ROW()-2)</x:f>
      </x:c>
      <x:c r="B93" s="21"/>
      <x:c r="C93" s="16"/>
      <x:c r="D93" s="21"/>
      <x:c r="E93" s="16"/>
      <x:c r="F93" s="16"/>
      <x:c r="G93" s="16"/>
      <x:c r="H93" s="16"/>
      <x:c r="I93" s="16"/>
      <x:c r="J93" s="16"/>
      <x:c r="K93" s="18" t="str">
        <x:f>IF(L93="","",'参数'!$B$3+IF(ROW()=3,0,SUM($R$3:INDEX($R:$R,ROW()-1))))</x:f>
      </x:c>
      <x:c r="L93" s="18"/>
      <x:c r="M93" s="19"/>
      <x:c r="N93" s="20" t="str">
        <x:f>IF(OR(L93="",K93=""),"",L93/K93)</x:f>
      </x:c>
      <x:c r="O93" s="18" t="str">
        <x:f>IF(OR(L93="",M93=""),"",L93*M93)</x:f>
      </x:c>
      <x:c r="P93" s="18"/>
      <x:c r="Q93" s="18" t="str">
        <x:f>IF(OR(L93="",P93="",P93="未结算"),"",SWITCH(P93,"赢",L93*M93,"输",0,"走水",L93,"取消",L93,"半赢",L93*(1+(M93-1)/2),"半输",L93*0.5,""))</x:f>
      </x:c>
      <x:c r="R93" s="18" t="str">
        <x:f>IF(Q93="","",Q93-L93)</x:f>
      </x:c>
      <x:c r="S93" s="20" t="str">
        <x:f>IF(OR(L93="",R93=""),"",R93/L93)</x:f>
      </x:c>
      <x:c r="T93" s="18" t="str">
        <x:f>IF(R93="","",'参数'!$B$3+SUM($R$3:R93))</x:f>
      </x:c>
      <x:c r="U93" s="16"/>
      <x:c r="V93" s="16"/>
      <x:c r="W93" s="16"/>
    </x:row>
    <x:row r="94" ht="22.5" customHeight="1">
      <x:c r="A94" s="16" t="str">
        <x:f>IF(C94="","",ROW()-2)</x:f>
      </x:c>
      <x:c r="B94" s="21"/>
      <x:c r="C94" s="16"/>
      <x:c r="D94" s="21"/>
      <x:c r="E94" s="16"/>
      <x:c r="F94" s="16"/>
      <x:c r="G94" s="16"/>
      <x:c r="H94" s="16"/>
      <x:c r="I94" s="16"/>
      <x:c r="J94" s="16"/>
      <x:c r="K94" s="18" t="str">
        <x:f>IF(L94="","",'参数'!$B$3+IF(ROW()=3,0,SUM($R$3:INDEX($R:$R,ROW()-1))))</x:f>
      </x:c>
      <x:c r="L94" s="18"/>
      <x:c r="M94" s="19"/>
      <x:c r="N94" s="20" t="str">
        <x:f>IF(OR(L94="",K94=""),"",L94/K94)</x:f>
      </x:c>
      <x:c r="O94" s="18" t="str">
        <x:f>IF(OR(L94="",M94=""),"",L94*M94)</x:f>
      </x:c>
      <x:c r="P94" s="18"/>
      <x:c r="Q94" s="18" t="str">
        <x:f>IF(OR(L94="",P94="",P94="未结算"),"",SWITCH(P94,"赢",L94*M94,"输",0,"走水",L94,"取消",L94,"半赢",L94*(1+(M94-1)/2),"半输",L94*0.5,""))</x:f>
      </x:c>
      <x:c r="R94" s="18" t="str">
        <x:f>IF(Q94="","",Q94-L94)</x:f>
      </x:c>
      <x:c r="S94" s="20" t="str">
        <x:f>IF(OR(L94="",R94=""),"",R94/L94)</x:f>
      </x:c>
      <x:c r="T94" s="18" t="str">
        <x:f>IF(R94="","",'参数'!$B$3+SUM($R$3:R94))</x:f>
      </x:c>
      <x:c r="U94" s="16"/>
      <x:c r="V94" s="16"/>
      <x:c r="W94" s="16"/>
    </x:row>
    <x:row r="95" ht="22.5" customHeight="1">
      <x:c r="A95" s="16" t="str">
        <x:f>IF(C95="","",ROW()-2)</x:f>
      </x:c>
      <x:c r="B95" s="21"/>
      <x:c r="C95" s="16"/>
      <x:c r="D95" s="21"/>
      <x:c r="E95" s="16"/>
      <x:c r="F95" s="16"/>
      <x:c r="G95" s="16"/>
      <x:c r="H95" s="16"/>
      <x:c r="I95" s="16"/>
      <x:c r="J95" s="16"/>
      <x:c r="K95" s="18" t="str">
        <x:f>IF(L95="","",'参数'!$B$3+IF(ROW()=3,0,SUM($R$3:INDEX($R:$R,ROW()-1))))</x:f>
      </x:c>
      <x:c r="L95" s="18"/>
      <x:c r="M95" s="19"/>
      <x:c r="N95" s="20" t="str">
        <x:f>IF(OR(L95="",K95=""),"",L95/K95)</x:f>
      </x:c>
      <x:c r="O95" s="18" t="str">
        <x:f>IF(OR(L95="",M95=""),"",L95*M95)</x:f>
      </x:c>
      <x:c r="P95" s="18"/>
      <x:c r="Q95" s="18" t="str">
        <x:f>IF(OR(L95="",P95="",P95="未结算"),"",SWITCH(P95,"赢",L95*M95,"输",0,"走水",L95,"取消",L95,"半赢",L95*(1+(M95-1)/2),"半输",L95*0.5,""))</x:f>
      </x:c>
      <x:c r="R95" s="18" t="str">
        <x:f>IF(Q95="","",Q95-L95)</x:f>
      </x:c>
      <x:c r="S95" s="20" t="str">
        <x:f>IF(OR(L95="",R95=""),"",R95/L95)</x:f>
      </x:c>
      <x:c r="T95" s="18" t="str">
        <x:f>IF(R95="","",'参数'!$B$3+SUM($R$3:R95))</x:f>
      </x:c>
      <x:c r="U95" s="16"/>
      <x:c r="V95" s="16"/>
      <x:c r="W95" s="16"/>
    </x:row>
    <x:row r="96" ht="22.5" customHeight="1">
      <x:c r="A96" s="16" t="str">
        <x:f>IF(C96="","",ROW()-2)</x:f>
      </x:c>
      <x:c r="B96" s="21"/>
      <x:c r="C96" s="16"/>
      <x:c r="D96" s="21"/>
      <x:c r="E96" s="16"/>
      <x:c r="F96" s="16"/>
      <x:c r="G96" s="16"/>
      <x:c r="H96" s="16"/>
      <x:c r="I96" s="16"/>
      <x:c r="J96" s="16"/>
      <x:c r="K96" s="18" t="str">
        <x:f>IF(L96="","",'参数'!$B$3+IF(ROW()=3,0,SUM($R$3:INDEX($R:$R,ROW()-1))))</x:f>
      </x:c>
      <x:c r="L96" s="18"/>
      <x:c r="M96" s="19"/>
      <x:c r="N96" s="20" t="str">
        <x:f>IF(OR(L96="",K96=""),"",L96/K96)</x:f>
      </x:c>
      <x:c r="O96" s="18" t="str">
        <x:f>IF(OR(L96="",M96=""),"",L96*M96)</x:f>
      </x:c>
      <x:c r="P96" s="18"/>
      <x:c r="Q96" s="18" t="str">
        <x:f>IF(OR(L96="",P96="",P96="未结算"),"",SWITCH(P96,"赢",L96*M96,"输",0,"走水",L96,"取消",L96,"半赢",L96*(1+(M96-1)/2),"半输",L96*0.5,""))</x:f>
      </x:c>
      <x:c r="R96" s="18" t="str">
        <x:f>IF(Q96="","",Q96-L96)</x:f>
      </x:c>
      <x:c r="S96" s="20" t="str">
        <x:f>IF(OR(L96="",R96=""),"",R96/L96)</x:f>
      </x:c>
      <x:c r="T96" s="18" t="str">
        <x:f>IF(R96="","",'参数'!$B$3+SUM($R$3:R96))</x:f>
      </x:c>
      <x:c r="U96" s="16"/>
      <x:c r="V96" s="16"/>
      <x:c r="W96" s="16"/>
    </x:row>
    <x:row r="97" ht="22.5" customHeight="1">
      <x:c r="A97" s="16" t="str">
        <x:f>IF(C97="","",ROW()-2)</x:f>
      </x:c>
      <x:c r="B97" s="21"/>
      <x:c r="C97" s="16"/>
      <x:c r="D97" s="21"/>
      <x:c r="E97" s="16"/>
      <x:c r="F97" s="16"/>
      <x:c r="G97" s="16"/>
      <x:c r="H97" s="16"/>
      <x:c r="I97" s="16"/>
      <x:c r="J97" s="16"/>
      <x:c r="K97" s="18" t="str">
        <x:f>IF(L97="","",'参数'!$B$3+IF(ROW()=3,0,SUM($R$3:INDEX($R:$R,ROW()-1))))</x:f>
      </x:c>
      <x:c r="L97" s="18"/>
      <x:c r="M97" s="19"/>
      <x:c r="N97" s="20" t="str">
        <x:f>IF(OR(L97="",K97=""),"",L97/K97)</x:f>
      </x:c>
      <x:c r="O97" s="18" t="str">
        <x:f>IF(OR(L97="",M97=""),"",L97*M97)</x:f>
      </x:c>
      <x:c r="P97" s="18"/>
      <x:c r="Q97" s="18" t="str">
        <x:f>IF(OR(L97="",P97="",P97="未结算"),"",SWITCH(P97,"赢",L97*M97,"输",0,"走水",L97,"取消",L97,"半赢",L97*(1+(M97-1)/2),"半输",L97*0.5,""))</x:f>
      </x:c>
      <x:c r="R97" s="18" t="str">
        <x:f>IF(Q97="","",Q97-L97)</x:f>
      </x:c>
      <x:c r="S97" s="20" t="str">
        <x:f>IF(OR(L97="",R97=""),"",R97/L97)</x:f>
      </x:c>
      <x:c r="T97" s="18" t="str">
        <x:f>IF(R97="","",'参数'!$B$3+SUM($R$3:R97))</x:f>
      </x:c>
      <x:c r="U97" s="16"/>
      <x:c r="V97" s="16"/>
      <x:c r="W97" s="16"/>
    </x:row>
    <x:row r="98" ht="22.5" customHeight="1">
      <x:c r="A98" s="16" t="str">
        <x:f>IF(C98="","",ROW()-2)</x:f>
      </x:c>
      <x:c r="B98" s="21"/>
      <x:c r="C98" s="16"/>
      <x:c r="D98" s="21"/>
      <x:c r="E98" s="16"/>
      <x:c r="F98" s="16"/>
      <x:c r="G98" s="16"/>
      <x:c r="H98" s="16"/>
      <x:c r="I98" s="16"/>
      <x:c r="J98" s="16"/>
      <x:c r="K98" s="18" t="str">
        <x:f>IF(L98="","",'参数'!$B$3+IF(ROW()=3,0,SUM($R$3:INDEX($R:$R,ROW()-1))))</x:f>
      </x:c>
      <x:c r="L98" s="18"/>
      <x:c r="M98" s="19"/>
      <x:c r="N98" s="20" t="str">
        <x:f>IF(OR(L98="",K98=""),"",L98/K98)</x:f>
      </x:c>
      <x:c r="O98" s="18" t="str">
        <x:f>IF(OR(L98="",M98=""),"",L98*M98)</x:f>
      </x:c>
      <x:c r="P98" s="18"/>
      <x:c r="Q98" s="18" t="str">
        <x:f>IF(OR(L98="",P98="",P98="未结算"),"",SWITCH(P98,"赢",L98*M98,"输",0,"走水",L98,"取消",L98,"半赢",L98*(1+(M98-1)/2),"半输",L98*0.5,""))</x:f>
      </x:c>
      <x:c r="R98" s="18" t="str">
        <x:f>IF(Q98="","",Q98-L98)</x:f>
      </x:c>
      <x:c r="S98" s="20" t="str">
        <x:f>IF(OR(L98="",R98=""),"",R98/L98)</x:f>
      </x:c>
      <x:c r="T98" s="18" t="str">
        <x:f>IF(R98="","",'参数'!$B$3+SUM($R$3:R98))</x:f>
      </x:c>
      <x:c r="U98" s="16"/>
      <x:c r="V98" s="16"/>
      <x:c r="W98" s="16"/>
    </x:row>
    <x:row r="99" ht="22.5" customHeight="1">
      <x:c r="A99" s="16" t="str">
        <x:f>IF(C99="","",ROW()-2)</x:f>
      </x:c>
      <x:c r="B99" s="21"/>
      <x:c r="C99" s="16"/>
      <x:c r="D99" s="21"/>
      <x:c r="E99" s="16"/>
      <x:c r="F99" s="16"/>
      <x:c r="G99" s="16"/>
      <x:c r="H99" s="16"/>
      <x:c r="I99" s="16"/>
      <x:c r="J99" s="16"/>
      <x:c r="K99" s="18" t="str">
        <x:f>IF(L99="","",'参数'!$B$3+IF(ROW()=3,0,SUM($R$3:INDEX($R:$R,ROW()-1))))</x:f>
      </x:c>
      <x:c r="L99" s="18"/>
      <x:c r="M99" s="19"/>
      <x:c r="N99" s="20" t="str">
        <x:f>IF(OR(L99="",K99=""),"",L99/K99)</x:f>
      </x:c>
      <x:c r="O99" s="18" t="str">
        <x:f>IF(OR(L99="",M99=""),"",L99*M99)</x:f>
      </x:c>
      <x:c r="P99" s="18"/>
      <x:c r="Q99" s="18" t="str">
        <x:f>IF(OR(L99="",P99="",P99="未结算"),"",SWITCH(P99,"赢",L99*M99,"输",0,"走水",L99,"取消",L99,"半赢",L99*(1+(M99-1)/2),"半输",L99*0.5,""))</x:f>
      </x:c>
      <x:c r="R99" s="18" t="str">
        <x:f>IF(Q99="","",Q99-L99)</x:f>
      </x:c>
      <x:c r="S99" s="20" t="str">
        <x:f>IF(OR(L99="",R99=""),"",R99/L99)</x:f>
      </x:c>
      <x:c r="T99" s="18" t="str">
        <x:f>IF(R99="","",'参数'!$B$3+SUM($R$3:R99))</x:f>
      </x:c>
      <x:c r="U99" s="16"/>
      <x:c r="V99" s="16"/>
      <x:c r="W99" s="16"/>
    </x:row>
    <x:row r="100" ht="22.5" customHeight="1">
      <x:c r="A100" s="16" t="str">
        <x:f>IF(C100="","",ROW()-2)</x:f>
      </x:c>
      <x:c r="B100" s="21"/>
      <x:c r="C100" s="16"/>
      <x:c r="D100" s="21"/>
      <x:c r="E100" s="16"/>
      <x:c r="F100" s="16"/>
      <x:c r="G100" s="16"/>
      <x:c r="H100" s="16"/>
      <x:c r="I100" s="16"/>
      <x:c r="J100" s="16"/>
      <x:c r="K100" s="18" t="str">
        <x:f>IF(L100="","",'参数'!$B$3+IF(ROW()=3,0,SUM($R$3:INDEX($R:$R,ROW()-1))))</x:f>
      </x:c>
      <x:c r="L100" s="18"/>
      <x:c r="M100" s="19"/>
      <x:c r="N100" s="20" t="str">
        <x:f>IF(OR(L100="",K100=""),"",L100/K100)</x:f>
      </x:c>
      <x:c r="O100" s="18" t="str">
        <x:f>IF(OR(L100="",M100=""),"",L100*M100)</x:f>
      </x:c>
      <x:c r="P100" s="18"/>
      <x:c r="Q100" s="18" t="str">
        <x:f>IF(OR(L100="",P100="",P100="未结算"),"",SWITCH(P100,"赢",L100*M100,"输",0,"走水",L100,"取消",L100,"半赢",L100*(1+(M100-1)/2),"半输",L100*0.5,""))</x:f>
      </x:c>
      <x:c r="R100" s="18" t="str">
        <x:f>IF(Q100="","",Q100-L100)</x:f>
      </x:c>
      <x:c r="S100" s="20" t="str">
        <x:f>IF(OR(L100="",R100=""),"",R100/L100)</x:f>
      </x:c>
      <x:c r="T100" s="18" t="str">
        <x:f>IF(R100="","",'参数'!$B$3+SUM($R$3:R100))</x:f>
      </x:c>
      <x:c r="U100" s="16"/>
      <x:c r="V100" s="16"/>
      <x:c r="W100" s="16"/>
    </x:row>
    <x:row r="101" ht="22.5" customHeight="1">
      <x:c r="A101" s="16" t="str">
        <x:f>IF(C101="","",ROW()-2)</x:f>
      </x:c>
      <x:c r="B101" s="21"/>
      <x:c r="C101" s="16"/>
      <x:c r="D101" s="21"/>
      <x:c r="E101" s="16"/>
      <x:c r="F101" s="16"/>
      <x:c r="G101" s="16"/>
      <x:c r="H101" s="16"/>
      <x:c r="I101" s="16"/>
      <x:c r="J101" s="16"/>
      <x:c r="K101" s="18" t="str">
        <x:f>IF(L101="","",'参数'!$B$3+IF(ROW()=3,0,SUM($R$3:INDEX($R:$R,ROW()-1))))</x:f>
      </x:c>
      <x:c r="L101" s="18"/>
      <x:c r="M101" s="19"/>
      <x:c r="N101" s="20" t="str">
        <x:f>IF(OR(L101="",K101=""),"",L101/K101)</x:f>
      </x:c>
      <x:c r="O101" s="18" t="str">
        <x:f>IF(OR(L101="",M101=""),"",L101*M101)</x:f>
      </x:c>
      <x:c r="P101" s="18"/>
      <x:c r="Q101" s="18" t="str">
        <x:f>IF(OR(L101="",P101="",P101="未结算"),"",SWITCH(P101,"赢",L101*M101,"输",0,"走水",L101,"取消",L101,"半赢",L101*(1+(M101-1)/2),"半输",L101*0.5,""))</x:f>
      </x:c>
      <x:c r="R101" s="18" t="str">
        <x:f>IF(Q101="","",Q101-L101)</x:f>
      </x:c>
      <x:c r="S101" s="20" t="str">
        <x:f>IF(OR(L101="",R101=""),"",R101/L101)</x:f>
      </x:c>
      <x:c r="T101" s="18" t="str">
        <x:f>IF(R101="","",'参数'!$B$3+SUM($R$3:R101))</x:f>
      </x:c>
      <x:c r="U101" s="16"/>
      <x:c r="V101" s="16"/>
      <x:c r="W101" s="16"/>
    </x:row>
    <x:row r="102" ht="22.5" customHeight="1">
      <x:c r="A102" s="16" t="str">
        <x:f>IF(C102="","",ROW()-2)</x:f>
      </x:c>
      <x:c r="B102" s="21"/>
      <x:c r="C102" s="16"/>
      <x:c r="D102" s="21"/>
      <x:c r="E102" s="16"/>
      <x:c r="F102" s="16"/>
      <x:c r="G102" s="16"/>
      <x:c r="H102" s="16"/>
      <x:c r="I102" s="16"/>
      <x:c r="J102" s="16"/>
      <x:c r="K102" s="18" t="str">
        <x:f>IF(L102="","",'参数'!$B$3+IF(ROW()=3,0,SUM($R$3:INDEX($R:$R,ROW()-1))))</x:f>
      </x:c>
      <x:c r="L102" s="18"/>
      <x:c r="M102" s="19"/>
      <x:c r="N102" s="20" t="str">
        <x:f>IF(OR(L102="",K102=""),"",L102/K102)</x:f>
      </x:c>
      <x:c r="O102" s="18" t="str">
        <x:f>IF(OR(L102="",M102=""),"",L102*M102)</x:f>
      </x:c>
      <x:c r="P102" s="18"/>
      <x:c r="Q102" s="18" t="str">
        <x:f>IF(OR(L102="",P102="",P102="未结算"),"",SWITCH(P102,"赢",L102*M102,"输",0,"走水",L102,"取消",L102,"半赢",L102*(1+(M102-1)/2),"半输",L102*0.5,""))</x:f>
      </x:c>
      <x:c r="R102" s="18" t="str">
        <x:f>IF(Q102="","",Q102-L102)</x:f>
      </x:c>
      <x:c r="S102" s="20" t="str">
        <x:f>IF(OR(L102="",R102=""),"",R102/L102)</x:f>
      </x:c>
      <x:c r="T102" s="18" t="str">
        <x:f>IF(R102="","",'参数'!$B$3+SUM($R$3:R102))</x:f>
      </x:c>
      <x:c r="U102" s="16"/>
      <x:c r="V102" s="16"/>
      <x:c r="W102" s="16"/>
    </x:row>
    <x:row r="103" ht="22.5" customHeight="1">
      <x:c r="A103" s="16" t="str">
        <x:f>IF(C103="","",ROW()-2)</x:f>
      </x:c>
      <x:c r="B103" s="21"/>
      <x:c r="C103" s="16"/>
      <x:c r="D103" s="21"/>
      <x:c r="E103" s="16"/>
      <x:c r="F103" s="16"/>
      <x:c r="G103" s="16"/>
      <x:c r="H103" s="16"/>
      <x:c r="I103" s="16"/>
      <x:c r="J103" s="16"/>
      <x:c r="K103" s="18" t="str">
        <x:f>IF(L103="","",'参数'!$B$3+IF(ROW()=3,0,SUM($R$3:INDEX($R:$R,ROW()-1))))</x:f>
      </x:c>
      <x:c r="L103" s="18"/>
      <x:c r="M103" s="19"/>
      <x:c r="N103" s="20" t="str">
        <x:f>IF(OR(L103="",K103=""),"",L103/K103)</x:f>
      </x:c>
      <x:c r="O103" s="18" t="str">
        <x:f>IF(OR(L103="",M103=""),"",L103*M103)</x:f>
      </x:c>
      <x:c r="P103" s="18"/>
      <x:c r="Q103" s="18" t="str">
        <x:f>IF(OR(L103="",P103="",P103="未结算"),"",SWITCH(P103,"赢",L103*M103,"输",0,"走水",L103,"取消",L103,"半赢",L103*(1+(M103-1)/2),"半输",L103*0.5,""))</x:f>
      </x:c>
      <x:c r="R103" s="18" t="str">
        <x:f>IF(Q103="","",Q103-L103)</x:f>
      </x:c>
      <x:c r="S103" s="20" t="str">
        <x:f>IF(OR(L103="",R103=""),"",R103/L103)</x:f>
      </x:c>
      <x:c r="T103" s="18" t="str">
        <x:f>IF(R103="","",'参数'!$B$3+SUM($R$3:R103))</x:f>
      </x:c>
      <x:c r="U103" s="16"/>
      <x:c r="V103" s="16"/>
      <x:c r="W103" s="16"/>
    </x:row>
    <x:row r="104" ht="22.5" customHeight="1">
      <x:c r="A104" s="16" t="str">
        <x:f>IF(C104="","",ROW()-2)</x:f>
      </x:c>
      <x:c r="B104" s="21"/>
      <x:c r="C104" s="16"/>
      <x:c r="D104" s="21"/>
      <x:c r="E104" s="16"/>
      <x:c r="F104" s="16"/>
      <x:c r="G104" s="16"/>
      <x:c r="H104" s="16"/>
      <x:c r="I104" s="16"/>
      <x:c r="J104" s="16"/>
      <x:c r="K104" s="18" t="str">
        <x:f>IF(L104="","",'参数'!$B$3+IF(ROW()=3,0,SUM($R$3:INDEX($R:$R,ROW()-1))))</x:f>
      </x:c>
      <x:c r="L104" s="18"/>
      <x:c r="M104" s="19"/>
      <x:c r="N104" s="20" t="str">
        <x:f>IF(OR(L104="",K104=""),"",L104/K104)</x:f>
      </x:c>
      <x:c r="O104" s="18" t="str">
        <x:f>IF(OR(L104="",M104=""),"",L104*M104)</x:f>
      </x:c>
      <x:c r="P104" s="18"/>
      <x:c r="Q104" s="18" t="str">
        <x:f>IF(OR(L104="",P104="",P104="未结算"),"",SWITCH(P104,"赢",L104*M104,"输",0,"走水",L104,"取消",L104,"半赢",L104*(1+(M104-1)/2),"半输",L104*0.5,""))</x:f>
      </x:c>
      <x:c r="R104" s="18" t="str">
        <x:f>IF(Q104="","",Q104-L104)</x:f>
      </x:c>
      <x:c r="S104" s="20" t="str">
        <x:f>IF(OR(L104="",R104=""),"",R104/L104)</x:f>
      </x:c>
      <x:c r="T104" s="18" t="str">
        <x:f>IF(R104="","",'参数'!$B$3+SUM($R$3:R104))</x:f>
      </x:c>
      <x:c r="U104" s="16"/>
      <x:c r="V104" s="16"/>
      <x:c r="W104" s="16"/>
    </x:row>
    <x:row r="105" ht="22.5" customHeight="1">
      <x:c r="A105" s="16" t="str">
        <x:f>IF(C105="","",ROW()-2)</x:f>
      </x:c>
      <x:c r="B105" s="21"/>
      <x:c r="C105" s="16"/>
      <x:c r="D105" s="21"/>
      <x:c r="E105" s="16"/>
      <x:c r="F105" s="16"/>
      <x:c r="G105" s="16"/>
      <x:c r="H105" s="16"/>
      <x:c r="I105" s="16"/>
      <x:c r="J105" s="16"/>
      <x:c r="K105" s="18" t="str">
        <x:f>IF(L105="","",'参数'!$B$3+IF(ROW()=3,0,SUM($R$3:INDEX($R:$R,ROW()-1))))</x:f>
      </x:c>
      <x:c r="L105" s="18"/>
      <x:c r="M105" s="19"/>
      <x:c r="N105" s="20" t="str">
        <x:f>IF(OR(L105="",K105=""),"",L105/K105)</x:f>
      </x:c>
      <x:c r="O105" s="18" t="str">
        <x:f>IF(OR(L105="",M105=""),"",L105*M105)</x:f>
      </x:c>
      <x:c r="P105" s="18"/>
      <x:c r="Q105" s="18" t="str">
        <x:f>IF(OR(L105="",P105="",P105="未结算"),"",SWITCH(P105,"赢",L105*M105,"输",0,"走水",L105,"取消",L105,"半赢",L105*(1+(M105-1)/2),"半输",L105*0.5,""))</x:f>
      </x:c>
      <x:c r="R105" s="18" t="str">
        <x:f>IF(Q105="","",Q105-L105)</x:f>
      </x:c>
      <x:c r="S105" s="20" t="str">
        <x:f>IF(OR(L105="",R105=""),"",R105/L105)</x:f>
      </x:c>
      <x:c r="T105" s="18" t="str">
        <x:f>IF(R105="","",'参数'!$B$3+SUM($R$3:R105))</x:f>
      </x:c>
      <x:c r="U105" s="16"/>
      <x:c r="V105" s="16"/>
      <x:c r="W105" s="16"/>
    </x:row>
    <x:row r="106" ht="22.5" customHeight="1">
      <x:c r="A106" s="16" t="str">
        <x:f>IF(C106="","",ROW()-2)</x:f>
      </x:c>
      <x:c r="B106" s="21"/>
      <x:c r="C106" s="16"/>
      <x:c r="D106" s="21"/>
      <x:c r="E106" s="16"/>
      <x:c r="F106" s="16"/>
      <x:c r="G106" s="16"/>
      <x:c r="H106" s="16"/>
      <x:c r="I106" s="16"/>
      <x:c r="J106" s="16"/>
      <x:c r="K106" s="18" t="str">
        <x:f>IF(L106="","",'参数'!$B$3+IF(ROW()=3,0,SUM($R$3:INDEX($R:$R,ROW()-1))))</x:f>
      </x:c>
      <x:c r="L106" s="18"/>
      <x:c r="M106" s="19"/>
      <x:c r="N106" s="20" t="str">
        <x:f>IF(OR(L106="",K106=""),"",L106/K106)</x:f>
      </x:c>
      <x:c r="O106" s="18" t="str">
        <x:f>IF(OR(L106="",M106=""),"",L106*M106)</x:f>
      </x:c>
      <x:c r="P106" s="18"/>
      <x:c r="Q106" s="18" t="str">
        <x:f>IF(OR(L106="",P106="",P106="未结算"),"",SWITCH(P106,"赢",L106*M106,"输",0,"走水",L106,"取消",L106,"半赢",L106*(1+(M106-1)/2),"半输",L106*0.5,""))</x:f>
      </x:c>
      <x:c r="R106" s="18" t="str">
        <x:f>IF(Q106="","",Q106-L106)</x:f>
      </x:c>
      <x:c r="S106" s="20" t="str">
        <x:f>IF(OR(L106="",R106=""),"",R106/L106)</x:f>
      </x:c>
      <x:c r="T106" s="18" t="str">
        <x:f>IF(R106="","",'参数'!$B$3+SUM($R$3:R106))</x:f>
      </x:c>
      <x:c r="U106" s="16"/>
      <x:c r="V106" s="16"/>
      <x:c r="W106" s="16"/>
    </x:row>
    <x:row r="107" ht="22.5" customHeight="1">
      <x:c r="A107" s="16" t="str">
        <x:f>IF(C107="","",ROW()-2)</x:f>
      </x:c>
      <x:c r="B107" s="21"/>
      <x:c r="C107" s="16"/>
      <x:c r="D107" s="21"/>
      <x:c r="E107" s="16"/>
      <x:c r="F107" s="16"/>
      <x:c r="G107" s="16"/>
      <x:c r="H107" s="16"/>
      <x:c r="I107" s="16"/>
      <x:c r="J107" s="16"/>
      <x:c r="K107" s="18" t="str">
        <x:f>IF(L107="","",'参数'!$B$3+IF(ROW()=3,0,SUM($R$3:INDEX($R:$R,ROW()-1))))</x:f>
      </x:c>
      <x:c r="L107" s="18"/>
      <x:c r="M107" s="19"/>
      <x:c r="N107" s="20" t="str">
        <x:f>IF(OR(L107="",K107=""),"",L107/K107)</x:f>
      </x:c>
      <x:c r="O107" s="18" t="str">
        <x:f>IF(OR(L107="",M107=""),"",L107*M107)</x:f>
      </x:c>
      <x:c r="P107" s="18"/>
      <x:c r="Q107" s="18" t="str">
        <x:f>IF(OR(L107="",P107="",P107="未结算"),"",SWITCH(P107,"赢",L107*M107,"输",0,"走水",L107,"取消",L107,"半赢",L107*(1+(M107-1)/2),"半输",L107*0.5,""))</x:f>
      </x:c>
      <x:c r="R107" s="18" t="str">
        <x:f>IF(Q107="","",Q107-L107)</x:f>
      </x:c>
      <x:c r="S107" s="20" t="str">
        <x:f>IF(OR(L107="",R107=""),"",R107/L107)</x:f>
      </x:c>
      <x:c r="T107" s="18" t="str">
        <x:f>IF(R107="","",'参数'!$B$3+SUM($R$3:R107))</x:f>
      </x:c>
      <x:c r="U107" s="16"/>
      <x:c r="V107" s="16"/>
      <x:c r="W107" s="16"/>
    </x:row>
    <x:row r="108" ht="22.5" customHeight="1">
      <x:c r="A108" s="16" t="str">
        <x:f>IF(C108="","",ROW()-2)</x:f>
      </x:c>
      <x:c r="B108" s="21"/>
      <x:c r="C108" s="16"/>
      <x:c r="D108" s="21"/>
      <x:c r="E108" s="16"/>
      <x:c r="F108" s="16"/>
      <x:c r="G108" s="16"/>
      <x:c r="H108" s="16"/>
      <x:c r="I108" s="16"/>
      <x:c r="J108" s="16"/>
      <x:c r="K108" s="18" t="str">
        <x:f>IF(L108="","",'参数'!$B$3+IF(ROW()=3,0,SUM($R$3:INDEX($R:$R,ROW()-1))))</x:f>
      </x:c>
      <x:c r="L108" s="18"/>
      <x:c r="M108" s="19"/>
      <x:c r="N108" s="20" t="str">
        <x:f>IF(OR(L108="",K108=""),"",L108/K108)</x:f>
      </x:c>
      <x:c r="O108" s="18" t="str">
        <x:f>IF(OR(L108="",M108=""),"",L108*M108)</x:f>
      </x:c>
      <x:c r="P108" s="18"/>
      <x:c r="Q108" s="18" t="str">
        <x:f>IF(OR(L108="",P108="",P108="未结算"),"",SWITCH(P108,"赢",L108*M108,"输",0,"走水",L108,"取消",L108,"半赢",L108*(1+(M108-1)/2),"半输",L108*0.5,""))</x:f>
      </x:c>
      <x:c r="R108" s="18" t="str">
        <x:f>IF(Q108="","",Q108-L108)</x:f>
      </x:c>
      <x:c r="S108" s="20" t="str">
        <x:f>IF(OR(L108="",R108=""),"",R108/L108)</x:f>
      </x:c>
      <x:c r="T108" s="18" t="str">
        <x:f>IF(R108="","",'参数'!$B$3+SUM($R$3:R108))</x:f>
      </x:c>
      <x:c r="U108" s="16"/>
      <x:c r="V108" s="16"/>
      <x:c r="W108" s="16"/>
    </x:row>
    <x:row r="109" ht="22.5" customHeight="1">
      <x:c r="A109" s="16" t="str">
        <x:f>IF(C109="","",ROW()-2)</x:f>
      </x:c>
      <x:c r="B109" s="21"/>
      <x:c r="C109" s="16"/>
      <x:c r="D109" s="21"/>
      <x:c r="E109" s="16"/>
      <x:c r="F109" s="16"/>
      <x:c r="G109" s="16"/>
      <x:c r="H109" s="16"/>
      <x:c r="I109" s="16"/>
      <x:c r="J109" s="16"/>
      <x:c r="K109" s="18" t="str">
        <x:f>IF(L109="","",'参数'!$B$3+IF(ROW()=3,0,SUM($R$3:INDEX($R:$R,ROW()-1))))</x:f>
      </x:c>
      <x:c r="L109" s="18"/>
      <x:c r="M109" s="19"/>
      <x:c r="N109" s="20" t="str">
        <x:f>IF(OR(L109="",K109=""),"",L109/K109)</x:f>
      </x:c>
      <x:c r="O109" s="18" t="str">
        <x:f>IF(OR(L109="",M109=""),"",L109*M109)</x:f>
      </x:c>
      <x:c r="P109" s="18"/>
      <x:c r="Q109" s="18" t="str">
        <x:f>IF(OR(L109="",P109="",P109="未结算"),"",SWITCH(P109,"赢",L109*M109,"输",0,"走水",L109,"取消",L109,"半赢",L109*(1+(M109-1)/2),"半输",L109*0.5,""))</x:f>
      </x:c>
      <x:c r="R109" s="18" t="str">
        <x:f>IF(Q109="","",Q109-L109)</x:f>
      </x:c>
      <x:c r="S109" s="20" t="str">
        <x:f>IF(OR(L109="",R109=""),"",R109/L109)</x:f>
      </x:c>
      <x:c r="T109" s="18" t="str">
        <x:f>IF(R109="","",'参数'!$B$3+SUM($R$3:R109))</x:f>
      </x:c>
      <x:c r="U109" s="16"/>
      <x:c r="V109" s="16"/>
      <x:c r="W109" s="16"/>
    </x:row>
    <x:row r="110" ht="22.5" customHeight="1">
      <x:c r="A110" s="16" t="str">
        <x:f>IF(C110="","",ROW()-2)</x:f>
      </x:c>
      <x:c r="B110" s="21"/>
      <x:c r="C110" s="16"/>
      <x:c r="D110" s="21"/>
      <x:c r="E110" s="16"/>
      <x:c r="F110" s="16"/>
      <x:c r="G110" s="16"/>
      <x:c r="H110" s="16"/>
      <x:c r="I110" s="16"/>
      <x:c r="J110" s="16"/>
      <x:c r="K110" s="18" t="str">
        <x:f>IF(L110="","",'参数'!$B$3+IF(ROW()=3,0,SUM($R$3:INDEX($R:$R,ROW()-1))))</x:f>
      </x:c>
      <x:c r="L110" s="18"/>
      <x:c r="M110" s="19"/>
      <x:c r="N110" s="20" t="str">
        <x:f>IF(OR(L110="",K110=""),"",L110/K110)</x:f>
      </x:c>
      <x:c r="O110" s="18" t="str">
        <x:f>IF(OR(L110="",M110=""),"",L110*M110)</x:f>
      </x:c>
      <x:c r="P110" s="18"/>
      <x:c r="Q110" s="18" t="str">
        <x:f>IF(OR(L110="",P110="",P110="未结算"),"",SWITCH(P110,"赢",L110*M110,"输",0,"走水",L110,"取消",L110,"半赢",L110*(1+(M110-1)/2),"半输",L110*0.5,""))</x:f>
      </x:c>
      <x:c r="R110" s="18" t="str">
        <x:f>IF(Q110="","",Q110-L110)</x:f>
      </x:c>
      <x:c r="S110" s="20" t="str">
        <x:f>IF(OR(L110="",R110=""),"",R110/L110)</x:f>
      </x:c>
      <x:c r="T110" s="18" t="str">
        <x:f>IF(R110="","",'参数'!$B$3+SUM($R$3:R110))</x:f>
      </x:c>
      <x:c r="U110" s="16"/>
      <x:c r="V110" s="16"/>
      <x:c r="W110" s="16"/>
    </x:row>
    <x:row r="111" ht="22.5" customHeight="1">
      <x:c r="A111" s="16" t="str">
        <x:f>IF(C111="","",ROW()-2)</x:f>
      </x:c>
      <x:c r="B111" s="21"/>
      <x:c r="C111" s="16"/>
      <x:c r="D111" s="21"/>
      <x:c r="E111" s="16"/>
      <x:c r="F111" s="16"/>
      <x:c r="G111" s="16"/>
      <x:c r="H111" s="16"/>
      <x:c r="I111" s="16"/>
      <x:c r="J111" s="16"/>
      <x:c r="K111" s="18" t="str">
        <x:f>IF(L111="","",'参数'!$B$3+IF(ROW()=3,0,SUM($R$3:INDEX($R:$R,ROW()-1))))</x:f>
      </x:c>
      <x:c r="L111" s="18"/>
      <x:c r="M111" s="19"/>
      <x:c r="N111" s="20" t="str">
        <x:f>IF(OR(L111="",K111=""),"",L111/K111)</x:f>
      </x:c>
      <x:c r="O111" s="18" t="str">
        <x:f>IF(OR(L111="",M111=""),"",L111*M111)</x:f>
      </x:c>
      <x:c r="P111" s="18"/>
      <x:c r="Q111" s="18" t="str">
        <x:f>IF(OR(L111="",P111="",P111="未结算"),"",SWITCH(P111,"赢",L111*M111,"输",0,"走水",L111,"取消",L111,"半赢",L111*(1+(M111-1)/2),"半输",L111*0.5,""))</x:f>
      </x:c>
      <x:c r="R111" s="18" t="str">
        <x:f>IF(Q111="","",Q111-L111)</x:f>
      </x:c>
      <x:c r="S111" s="20" t="str">
        <x:f>IF(OR(L111="",R111=""),"",R111/L111)</x:f>
      </x:c>
      <x:c r="T111" s="18" t="str">
        <x:f>IF(R111="","",'参数'!$B$3+SUM($R$3:R111))</x:f>
      </x:c>
      <x:c r="U111" s="16"/>
      <x:c r="V111" s="16"/>
      <x:c r="W111" s="16"/>
    </x:row>
    <x:row r="112" ht="22.5" customHeight="1">
      <x:c r="A112" s="16" t="str">
        <x:f>IF(C112="","",ROW()-2)</x:f>
      </x:c>
      <x:c r="B112" s="21"/>
      <x:c r="C112" s="16"/>
      <x:c r="D112" s="21"/>
      <x:c r="E112" s="16"/>
      <x:c r="F112" s="16"/>
      <x:c r="G112" s="16"/>
      <x:c r="H112" s="16"/>
      <x:c r="I112" s="16"/>
      <x:c r="J112" s="16"/>
      <x:c r="K112" s="18" t="str">
        <x:f>IF(L112="","",'参数'!$B$3+IF(ROW()=3,0,SUM($R$3:INDEX($R:$R,ROW()-1))))</x:f>
      </x:c>
      <x:c r="L112" s="18"/>
      <x:c r="M112" s="19"/>
      <x:c r="N112" s="20" t="str">
        <x:f>IF(OR(L112="",K112=""),"",L112/K112)</x:f>
      </x:c>
      <x:c r="O112" s="18" t="str">
        <x:f>IF(OR(L112="",M112=""),"",L112*M112)</x:f>
      </x:c>
      <x:c r="P112" s="18"/>
      <x:c r="Q112" s="18" t="str">
        <x:f>IF(OR(L112="",P112="",P112="未结算"),"",SWITCH(P112,"赢",L112*M112,"输",0,"走水",L112,"取消",L112,"半赢",L112*(1+(M112-1)/2),"半输",L112*0.5,""))</x:f>
      </x:c>
      <x:c r="R112" s="18" t="str">
        <x:f>IF(Q112="","",Q112-L112)</x:f>
      </x:c>
      <x:c r="S112" s="20" t="str">
        <x:f>IF(OR(L112="",R112=""),"",R112/L112)</x:f>
      </x:c>
      <x:c r="T112" s="18" t="str">
        <x:f>IF(R112="","",'参数'!$B$3+SUM($R$3:R112))</x:f>
      </x:c>
      <x:c r="U112" s="16"/>
      <x:c r="V112" s="16"/>
      <x:c r="W112" s="16"/>
    </x:row>
    <x:row r="113" ht="22.5" customHeight="1">
      <x:c r="A113" s="16" t="str">
        <x:f>IF(C113="","",ROW()-2)</x:f>
      </x:c>
      <x:c r="B113" s="21"/>
      <x:c r="C113" s="16"/>
      <x:c r="D113" s="21"/>
      <x:c r="E113" s="16"/>
      <x:c r="F113" s="16"/>
      <x:c r="G113" s="16"/>
      <x:c r="H113" s="16"/>
      <x:c r="I113" s="16"/>
      <x:c r="J113" s="16"/>
      <x:c r="K113" s="18" t="str">
        <x:f>IF(L113="","",'参数'!$B$3+IF(ROW()=3,0,SUM($R$3:INDEX($R:$R,ROW()-1))))</x:f>
      </x:c>
      <x:c r="L113" s="18"/>
      <x:c r="M113" s="19"/>
      <x:c r="N113" s="20" t="str">
        <x:f>IF(OR(L113="",K113=""),"",L113/K113)</x:f>
      </x:c>
      <x:c r="O113" s="18" t="str">
        <x:f>IF(OR(L113="",M113=""),"",L113*M113)</x:f>
      </x:c>
      <x:c r="P113" s="18"/>
      <x:c r="Q113" s="18" t="str">
        <x:f>IF(OR(L113="",P113="",P113="未结算"),"",SWITCH(P113,"赢",L113*M113,"输",0,"走水",L113,"取消",L113,"半赢",L113*(1+(M113-1)/2),"半输",L113*0.5,""))</x:f>
      </x:c>
      <x:c r="R113" s="18" t="str">
        <x:f>IF(Q113="","",Q113-L113)</x:f>
      </x:c>
      <x:c r="S113" s="20" t="str">
        <x:f>IF(OR(L113="",R113=""),"",R113/L113)</x:f>
      </x:c>
      <x:c r="T113" s="18" t="str">
        <x:f>IF(R113="","",'参数'!$B$3+SUM($R$3:R113))</x:f>
      </x:c>
      <x:c r="U113" s="16"/>
      <x:c r="V113" s="16"/>
      <x:c r="W113" s="16"/>
    </x:row>
    <x:row r="114" ht="22.5" customHeight="1">
      <x:c r="A114" s="16" t="str">
        <x:f>IF(C114="","",ROW()-2)</x:f>
      </x:c>
      <x:c r="B114" s="21"/>
      <x:c r="C114" s="16"/>
      <x:c r="D114" s="21"/>
      <x:c r="E114" s="16"/>
      <x:c r="F114" s="16"/>
      <x:c r="G114" s="16"/>
      <x:c r="H114" s="16"/>
      <x:c r="I114" s="16"/>
      <x:c r="J114" s="16"/>
      <x:c r="K114" s="18" t="str">
        <x:f>IF(L114="","",'参数'!$B$3+IF(ROW()=3,0,SUM($R$3:INDEX($R:$R,ROW()-1))))</x:f>
      </x:c>
      <x:c r="L114" s="18"/>
      <x:c r="M114" s="19"/>
      <x:c r="N114" s="20" t="str">
        <x:f>IF(OR(L114="",K114=""),"",L114/K114)</x:f>
      </x:c>
      <x:c r="O114" s="18" t="str">
        <x:f>IF(OR(L114="",M114=""),"",L114*M114)</x:f>
      </x:c>
      <x:c r="P114" s="18"/>
      <x:c r="Q114" s="18" t="str">
        <x:f>IF(OR(L114="",P114="",P114="未结算"),"",SWITCH(P114,"赢",L114*M114,"输",0,"走水",L114,"取消",L114,"半赢",L114*(1+(M114-1)/2),"半输",L114*0.5,""))</x:f>
      </x:c>
      <x:c r="R114" s="18" t="str">
        <x:f>IF(Q114="","",Q114-L114)</x:f>
      </x:c>
      <x:c r="S114" s="20" t="str">
        <x:f>IF(OR(L114="",R114=""),"",R114/L114)</x:f>
      </x:c>
      <x:c r="T114" s="18" t="str">
        <x:f>IF(R114="","",'参数'!$B$3+SUM($R$3:R114))</x:f>
      </x:c>
      <x:c r="U114" s="16"/>
      <x:c r="V114" s="16"/>
      <x:c r="W114" s="16"/>
    </x:row>
    <x:row r="115" ht="22.5" customHeight="1">
      <x:c r="A115" s="16" t="str">
        <x:f>IF(C115="","",ROW()-2)</x:f>
      </x:c>
      <x:c r="B115" s="21"/>
      <x:c r="C115" s="16"/>
      <x:c r="D115" s="21"/>
      <x:c r="E115" s="16"/>
      <x:c r="F115" s="16"/>
      <x:c r="G115" s="16"/>
      <x:c r="H115" s="16"/>
      <x:c r="I115" s="16"/>
      <x:c r="J115" s="16"/>
      <x:c r="K115" s="18" t="str">
        <x:f>IF(L115="","",'参数'!$B$3+IF(ROW()=3,0,SUM($R$3:INDEX($R:$R,ROW()-1))))</x:f>
      </x:c>
      <x:c r="L115" s="18"/>
      <x:c r="M115" s="19"/>
      <x:c r="N115" s="20" t="str">
        <x:f>IF(OR(L115="",K115=""),"",L115/K115)</x:f>
      </x:c>
      <x:c r="O115" s="18" t="str">
        <x:f>IF(OR(L115="",M115=""),"",L115*M115)</x:f>
      </x:c>
      <x:c r="P115" s="18"/>
      <x:c r="Q115" s="18" t="str">
        <x:f>IF(OR(L115="",P115="",P115="未结算"),"",SWITCH(P115,"赢",L115*M115,"输",0,"走水",L115,"取消",L115,"半赢",L115*(1+(M115-1)/2),"半输",L115*0.5,""))</x:f>
      </x:c>
      <x:c r="R115" s="18" t="str">
        <x:f>IF(Q115="","",Q115-L115)</x:f>
      </x:c>
      <x:c r="S115" s="20" t="str">
        <x:f>IF(OR(L115="",R115=""),"",R115/L115)</x:f>
      </x:c>
      <x:c r="T115" s="18" t="str">
        <x:f>IF(R115="","",'参数'!$B$3+SUM($R$3:R115))</x:f>
      </x:c>
      <x:c r="U115" s="16"/>
      <x:c r="V115" s="16"/>
      <x:c r="W115" s="16"/>
    </x:row>
    <x:row r="116" ht="22.5" customHeight="1">
      <x:c r="A116" s="16" t="str">
        <x:f>IF(C116="","",ROW()-2)</x:f>
      </x:c>
      <x:c r="B116" s="21"/>
      <x:c r="C116" s="16"/>
      <x:c r="D116" s="21"/>
      <x:c r="E116" s="16"/>
      <x:c r="F116" s="16"/>
      <x:c r="G116" s="16"/>
      <x:c r="H116" s="16"/>
      <x:c r="I116" s="16"/>
      <x:c r="J116" s="16"/>
      <x:c r="K116" s="18" t="str">
        <x:f>IF(L116="","",'参数'!$B$3+IF(ROW()=3,0,SUM($R$3:INDEX($R:$R,ROW()-1))))</x:f>
      </x:c>
      <x:c r="L116" s="18"/>
      <x:c r="M116" s="19"/>
      <x:c r="N116" s="20" t="str">
        <x:f>IF(OR(L116="",K116=""),"",L116/K116)</x:f>
      </x:c>
      <x:c r="O116" s="18" t="str">
        <x:f>IF(OR(L116="",M116=""),"",L116*M116)</x:f>
      </x:c>
      <x:c r="P116" s="18"/>
      <x:c r="Q116" s="18" t="str">
        <x:f>IF(OR(L116="",P116="",P116="未结算"),"",SWITCH(P116,"赢",L116*M116,"输",0,"走水",L116,"取消",L116,"半赢",L116*(1+(M116-1)/2),"半输",L116*0.5,""))</x:f>
      </x:c>
      <x:c r="R116" s="18" t="str">
        <x:f>IF(Q116="","",Q116-L116)</x:f>
      </x:c>
      <x:c r="S116" s="20" t="str">
        <x:f>IF(OR(L116="",R116=""),"",R116/L116)</x:f>
      </x:c>
      <x:c r="T116" s="18" t="str">
        <x:f>IF(R116="","",'参数'!$B$3+SUM($R$3:R116))</x:f>
      </x:c>
      <x:c r="U116" s="16"/>
      <x:c r="V116" s="16"/>
      <x:c r="W116" s="16"/>
    </x:row>
    <x:row r="117" ht="22.5" customHeight="1">
      <x:c r="A117" s="16" t="str">
        <x:f>IF(C117="","",ROW()-2)</x:f>
      </x:c>
      <x:c r="B117" s="21"/>
      <x:c r="C117" s="16"/>
      <x:c r="D117" s="21"/>
      <x:c r="E117" s="16"/>
      <x:c r="F117" s="16"/>
      <x:c r="G117" s="16"/>
      <x:c r="H117" s="16"/>
      <x:c r="I117" s="16"/>
      <x:c r="J117" s="16"/>
      <x:c r="K117" s="18" t="str">
        <x:f>IF(L117="","",'参数'!$B$3+IF(ROW()=3,0,SUM($R$3:INDEX($R:$R,ROW()-1))))</x:f>
      </x:c>
      <x:c r="L117" s="18"/>
      <x:c r="M117" s="19"/>
      <x:c r="N117" s="20" t="str">
        <x:f>IF(OR(L117="",K117=""),"",L117/K117)</x:f>
      </x:c>
      <x:c r="O117" s="18" t="str">
        <x:f>IF(OR(L117="",M117=""),"",L117*M117)</x:f>
      </x:c>
      <x:c r="P117" s="18"/>
      <x:c r="Q117" s="18" t="str">
        <x:f>IF(OR(L117="",P117="",P117="未结算"),"",SWITCH(P117,"赢",L117*M117,"输",0,"走水",L117,"取消",L117,"半赢",L117*(1+(M117-1)/2),"半输",L117*0.5,""))</x:f>
      </x:c>
      <x:c r="R117" s="18" t="str">
        <x:f>IF(Q117="","",Q117-L117)</x:f>
      </x:c>
      <x:c r="S117" s="20" t="str">
        <x:f>IF(OR(L117="",R117=""),"",R117/L117)</x:f>
      </x:c>
      <x:c r="T117" s="18" t="str">
        <x:f>IF(R117="","",'参数'!$B$3+SUM($R$3:R117))</x:f>
      </x:c>
      <x:c r="U117" s="16"/>
      <x:c r="V117" s="16"/>
      <x:c r="W117" s="16"/>
    </x:row>
    <x:row r="118" ht="22.5" customHeight="1">
      <x:c r="A118" s="16" t="str">
        <x:f>IF(C118="","",ROW()-2)</x:f>
      </x:c>
      <x:c r="B118" s="21"/>
      <x:c r="C118" s="16"/>
      <x:c r="D118" s="21"/>
      <x:c r="E118" s="16"/>
      <x:c r="F118" s="16"/>
      <x:c r="G118" s="16"/>
      <x:c r="H118" s="16"/>
      <x:c r="I118" s="16"/>
      <x:c r="J118" s="16"/>
      <x:c r="K118" s="18" t="str">
        <x:f>IF(L118="","",'参数'!$B$3+IF(ROW()=3,0,SUM($R$3:INDEX($R:$R,ROW()-1))))</x:f>
      </x:c>
      <x:c r="L118" s="18"/>
      <x:c r="M118" s="19"/>
      <x:c r="N118" s="20" t="str">
        <x:f>IF(OR(L118="",K118=""),"",L118/K118)</x:f>
      </x:c>
      <x:c r="O118" s="18" t="str">
        <x:f>IF(OR(L118="",M118=""),"",L118*M118)</x:f>
      </x:c>
      <x:c r="P118" s="18"/>
      <x:c r="Q118" s="18" t="str">
        <x:f>IF(OR(L118="",P118="",P118="未结算"),"",SWITCH(P118,"赢",L118*M118,"输",0,"走水",L118,"取消",L118,"半赢",L118*(1+(M118-1)/2),"半输",L118*0.5,""))</x:f>
      </x:c>
      <x:c r="R118" s="18" t="str">
        <x:f>IF(Q118="","",Q118-L118)</x:f>
      </x:c>
      <x:c r="S118" s="20" t="str">
        <x:f>IF(OR(L118="",R118=""),"",R118/L118)</x:f>
      </x:c>
      <x:c r="T118" s="18" t="str">
        <x:f>IF(R118="","",'参数'!$B$3+SUM($R$3:R118))</x:f>
      </x:c>
      <x:c r="U118" s="16"/>
      <x:c r="V118" s="16"/>
      <x:c r="W118" s="16"/>
    </x:row>
    <x:row r="119" ht="22.5" customHeight="1">
      <x:c r="A119" s="16" t="str">
        <x:f>IF(C119="","",ROW()-2)</x:f>
      </x:c>
      <x:c r="B119" s="21"/>
      <x:c r="C119" s="16"/>
      <x:c r="D119" s="21"/>
      <x:c r="E119" s="16"/>
      <x:c r="F119" s="16"/>
      <x:c r="G119" s="16"/>
      <x:c r="H119" s="16"/>
      <x:c r="I119" s="16"/>
      <x:c r="J119" s="16"/>
      <x:c r="K119" s="18" t="str">
        <x:f>IF(L119="","",'参数'!$B$3+IF(ROW()=3,0,SUM($R$3:INDEX($R:$R,ROW()-1))))</x:f>
      </x:c>
      <x:c r="L119" s="18"/>
      <x:c r="M119" s="19"/>
      <x:c r="N119" s="20" t="str">
        <x:f>IF(OR(L119="",K119=""),"",L119/K119)</x:f>
      </x:c>
      <x:c r="O119" s="18" t="str">
        <x:f>IF(OR(L119="",M119=""),"",L119*M119)</x:f>
      </x:c>
      <x:c r="P119" s="18"/>
      <x:c r="Q119" s="18" t="str">
        <x:f>IF(OR(L119="",P119="",P119="未结算"),"",SWITCH(P119,"赢",L119*M119,"输",0,"走水",L119,"取消",L119,"半赢",L119*(1+(M119-1)/2),"半输",L119*0.5,""))</x:f>
      </x:c>
      <x:c r="R119" s="18" t="str">
        <x:f>IF(Q119="","",Q119-L119)</x:f>
      </x:c>
      <x:c r="S119" s="20" t="str">
        <x:f>IF(OR(L119="",R119=""),"",R119/L119)</x:f>
      </x:c>
      <x:c r="T119" s="18" t="str">
        <x:f>IF(R119="","",'参数'!$B$3+SUM($R$3:R119))</x:f>
      </x:c>
      <x:c r="U119" s="16"/>
      <x:c r="V119" s="16"/>
      <x:c r="W119" s="16"/>
    </x:row>
    <x:row r="120" ht="22.5" customHeight="1">
      <x:c r="A120" s="16" t="str">
        <x:f>IF(C120="","",ROW()-2)</x:f>
      </x:c>
      <x:c r="B120" s="21"/>
      <x:c r="C120" s="16"/>
      <x:c r="D120" s="21"/>
      <x:c r="E120" s="16"/>
      <x:c r="F120" s="16"/>
      <x:c r="G120" s="16"/>
      <x:c r="H120" s="16"/>
      <x:c r="I120" s="16"/>
      <x:c r="J120" s="16"/>
      <x:c r="K120" s="18" t="str">
        <x:f>IF(L120="","",'参数'!$B$3+IF(ROW()=3,0,SUM($R$3:INDEX($R:$R,ROW()-1))))</x:f>
      </x:c>
      <x:c r="L120" s="18"/>
      <x:c r="M120" s="19"/>
      <x:c r="N120" s="20" t="str">
        <x:f>IF(OR(L120="",K120=""),"",L120/K120)</x:f>
      </x:c>
      <x:c r="O120" s="18" t="str">
        <x:f>IF(OR(L120="",M120=""),"",L120*M120)</x:f>
      </x:c>
      <x:c r="P120" s="18"/>
      <x:c r="Q120" s="18" t="str">
        <x:f>IF(OR(L120="",P120="",P120="未结算"),"",SWITCH(P120,"赢",L120*M120,"输",0,"走水",L120,"取消",L120,"半赢",L120*(1+(M120-1)/2),"半输",L120*0.5,""))</x:f>
      </x:c>
      <x:c r="R120" s="18" t="str">
        <x:f>IF(Q120="","",Q120-L120)</x:f>
      </x:c>
      <x:c r="S120" s="20" t="str">
        <x:f>IF(OR(L120="",R120=""),"",R120/L120)</x:f>
      </x:c>
      <x:c r="T120" s="18" t="str">
        <x:f>IF(R120="","",'参数'!$B$3+SUM($R$3:R120))</x:f>
      </x:c>
      <x:c r="U120" s="16"/>
      <x:c r="V120" s="16"/>
      <x:c r="W120" s="16"/>
    </x:row>
    <x:row r="121" ht="22.5" customHeight="1">
      <x:c r="A121" s="16" t="str">
        <x:f>IF(C121="","",ROW()-2)</x:f>
      </x:c>
      <x:c r="B121" s="21"/>
      <x:c r="C121" s="16"/>
      <x:c r="D121" s="21"/>
      <x:c r="E121" s="16"/>
      <x:c r="F121" s="16"/>
      <x:c r="G121" s="16"/>
      <x:c r="H121" s="16"/>
      <x:c r="I121" s="16"/>
      <x:c r="J121" s="16"/>
      <x:c r="K121" s="18" t="str">
        <x:f>IF(L121="","",'参数'!$B$3+IF(ROW()=3,0,SUM($R$3:INDEX($R:$R,ROW()-1))))</x:f>
      </x:c>
      <x:c r="L121" s="18"/>
      <x:c r="M121" s="19"/>
      <x:c r="N121" s="20" t="str">
        <x:f>IF(OR(L121="",K121=""),"",L121/K121)</x:f>
      </x:c>
      <x:c r="O121" s="18" t="str">
        <x:f>IF(OR(L121="",M121=""),"",L121*M121)</x:f>
      </x:c>
      <x:c r="P121" s="18"/>
      <x:c r="Q121" s="18" t="str">
        <x:f>IF(OR(L121="",P121="",P121="未结算"),"",SWITCH(P121,"赢",L121*M121,"输",0,"走水",L121,"取消",L121,"半赢",L121*(1+(M121-1)/2),"半输",L121*0.5,""))</x:f>
      </x:c>
      <x:c r="R121" s="18" t="str">
        <x:f>IF(Q121="","",Q121-L121)</x:f>
      </x:c>
      <x:c r="S121" s="20" t="str">
        <x:f>IF(OR(L121="",R121=""),"",R121/L121)</x:f>
      </x:c>
      <x:c r="T121" s="18" t="str">
        <x:f>IF(R121="","",'参数'!$B$3+SUM($R$3:R121))</x:f>
      </x:c>
      <x:c r="U121" s="16"/>
      <x:c r="V121" s="16"/>
      <x:c r="W121" s="16"/>
    </x:row>
    <x:row r="122" ht="22.5" customHeight="1">
      <x:c r="A122" s="16" t="str">
        <x:f>IF(C122="","",ROW()-2)</x:f>
      </x:c>
      <x:c r="B122" s="21"/>
      <x:c r="C122" s="16"/>
      <x:c r="D122" s="21"/>
      <x:c r="E122" s="16"/>
      <x:c r="F122" s="16"/>
      <x:c r="G122" s="16"/>
      <x:c r="H122" s="16"/>
      <x:c r="I122" s="16"/>
      <x:c r="J122" s="16"/>
      <x:c r="K122" s="18" t="str">
        <x:f>IF(L122="","",'参数'!$B$3+IF(ROW()=3,0,SUM($R$3:INDEX($R:$R,ROW()-1))))</x:f>
      </x:c>
      <x:c r="L122" s="18"/>
      <x:c r="M122" s="19"/>
      <x:c r="N122" s="20" t="str">
        <x:f>IF(OR(L122="",K122=""),"",L122/K122)</x:f>
      </x:c>
      <x:c r="O122" s="18" t="str">
        <x:f>IF(OR(L122="",M122=""),"",L122*M122)</x:f>
      </x:c>
      <x:c r="P122" s="18"/>
      <x:c r="Q122" s="18" t="str">
        <x:f>IF(OR(L122="",P122="",P122="未结算"),"",SWITCH(P122,"赢",L122*M122,"输",0,"走水",L122,"取消",L122,"半赢",L122*(1+(M122-1)/2),"半输",L122*0.5,""))</x:f>
      </x:c>
      <x:c r="R122" s="18" t="str">
        <x:f>IF(Q122="","",Q122-L122)</x:f>
      </x:c>
      <x:c r="S122" s="20" t="str">
        <x:f>IF(OR(L122="",R122=""),"",R122/L122)</x:f>
      </x:c>
      <x:c r="T122" s="18" t="str">
        <x:f>IF(R122="","",'参数'!$B$3+SUM($R$3:R122))</x:f>
      </x:c>
      <x:c r="U122" s="16"/>
      <x:c r="V122" s="16"/>
      <x:c r="W122" s="16"/>
    </x:row>
    <x:row r="123" ht="22.5" customHeight="1">
      <x:c r="A123" s="16" t="str">
        <x:f>IF(C123="","",ROW()-2)</x:f>
      </x:c>
      <x:c r="B123" s="21"/>
      <x:c r="C123" s="16"/>
      <x:c r="D123" s="21"/>
      <x:c r="E123" s="16"/>
      <x:c r="F123" s="16"/>
      <x:c r="G123" s="16"/>
      <x:c r="H123" s="16"/>
      <x:c r="I123" s="16"/>
      <x:c r="J123" s="16"/>
      <x:c r="K123" s="18" t="str">
        <x:f>IF(L123="","",'参数'!$B$3+IF(ROW()=3,0,SUM($R$3:INDEX($R:$R,ROW()-1))))</x:f>
      </x:c>
      <x:c r="L123" s="18"/>
      <x:c r="M123" s="19"/>
      <x:c r="N123" s="20" t="str">
        <x:f>IF(OR(L123="",K123=""),"",L123/K123)</x:f>
      </x:c>
      <x:c r="O123" s="18" t="str">
        <x:f>IF(OR(L123="",M123=""),"",L123*M123)</x:f>
      </x:c>
      <x:c r="P123" s="18"/>
      <x:c r="Q123" s="18" t="str">
        <x:f>IF(OR(L123="",P123="",P123="未结算"),"",SWITCH(P123,"赢",L123*M123,"输",0,"走水",L123,"取消",L123,"半赢",L123*(1+(M123-1)/2),"半输",L123*0.5,""))</x:f>
      </x:c>
      <x:c r="R123" s="18" t="str">
        <x:f>IF(Q123="","",Q123-L123)</x:f>
      </x:c>
      <x:c r="S123" s="20" t="str">
        <x:f>IF(OR(L123="",R123=""),"",R123/L123)</x:f>
      </x:c>
      <x:c r="T123" s="18" t="str">
        <x:f>IF(R123="","",'参数'!$B$3+SUM($R$3:R123))</x:f>
      </x:c>
      <x:c r="U123" s="16"/>
      <x:c r="V123" s="16"/>
      <x:c r="W123" s="16"/>
    </x:row>
    <x:row r="124" ht="22.5" customHeight="1">
      <x:c r="A124" s="16" t="str">
        <x:f>IF(C124="","",ROW()-2)</x:f>
      </x:c>
      <x:c r="B124" s="21"/>
      <x:c r="C124" s="16"/>
      <x:c r="D124" s="21"/>
      <x:c r="E124" s="16"/>
      <x:c r="F124" s="16"/>
      <x:c r="G124" s="16"/>
      <x:c r="H124" s="16"/>
      <x:c r="I124" s="16"/>
      <x:c r="J124" s="16"/>
      <x:c r="K124" s="18" t="str">
        <x:f>IF(L124="","",'参数'!$B$3+IF(ROW()=3,0,SUM($R$3:INDEX($R:$R,ROW()-1))))</x:f>
      </x:c>
      <x:c r="L124" s="18"/>
      <x:c r="M124" s="19"/>
      <x:c r="N124" s="20" t="str">
        <x:f>IF(OR(L124="",K124=""),"",L124/K124)</x:f>
      </x:c>
      <x:c r="O124" s="18" t="str">
        <x:f>IF(OR(L124="",M124=""),"",L124*M124)</x:f>
      </x:c>
      <x:c r="P124" s="18"/>
      <x:c r="Q124" s="18" t="str">
        <x:f>IF(OR(L124="",P124="",P124="未结算"),"",SWITCH(P124,"赢",L124*M124,"输",0,"走水",L124,"取消",L124,"半赢",L124*(1+(M124-1)/2),"半输",L124*0.5,""))</x:f>
      </x:c>
      <x:c r="R124" s="18" t="str">
        <x:f>IF(Q124="","",Q124-L124)</x:f>
      </x:c>
      <x:c r="S124" s="20" t="str">
        <x:f>IF(OR(L124="",R124=""),"",R124/L124)</x:f>
      </x:c>
      <x:c r="T124" s="18" t="str">
        <x:f>IF(R124="","",'参数'!$B$3+SUM($R$3:R124))</x:f>
      </x:c>
      <x:c r="U124" s="16"/>
      <x:c r="V124" s="16"/>
      <x:c r="W124" s="16"/>
    </x:row>
    <x:row r="125" ht="22.5" customHeight="1">
      <x:c r="A125" s="16" t="str">
        <x:f>IF(C125="","",ROW()-2)</x:f>
      </x:c>
      <x:c r="B125" s="21"/>
      <x:c r="C125" s="16"/>
      <x:c r="D125" s="21"/>
      <x:c r="E125" s="16"/>
      <x:c r="F125" s="16"/>
      <x:c r="G125" s="16"/>
      <x:c r="H125" s="16"/>
      <x:c r="I125" s="16"/>
      <x:c r="J125" s="16"/>
      <x:c r="K125" s="18" t="str">
        <x:f>IF(L125="","",'参数'!$B$3+IF(ROW()=3,0,SUM($R$3:INDEX($R:$R,ROW()-1))))</x:f>
      </x:c>
      <x:c r="L125" s="18"/>
      <x:c r="M125" s="19"/>
      <x:c r="N125" s="20" t="str">
        <x:f>IF(OR(L125="",K125=""),"",L125/K125)</x:f>
      </x:c>
      <x:c r="O125" s="18" t="str">
        <x:f>IF(OR(L125="",M125=""),"",L125*M125)</x:f>
      </x:c>
      <x:c r="P125" s="18"/>
      <x:c r="Q125" s="18" t="str">
        <x:f>IF(OR(L125="",P125="",P125="未结算"),"",SWITCH(P125,"赢",L125*M125,"输",0,"走水",L125,"取消",L125,"半赢",L125*(1+(M125-1)/2),"半输",L125*0.5,""))</x:f>
      </x:c>
      <x:c r="R125" s="18" t="str">
        <x:f>IF(Q125="","",Q125-L125)</x:f>
      </x:c>
      <x:c r="S125" s="20" t="str">
        <x:f>IF(OR(L125="",R125=""),"",R125/L125)</x:f>
      </x:c>
      <x:c r="T125" s="18" t="str">
        <x:f>IF(R125="","",'参数'!$B$3+SUM($R$3:R125))</x:f>
      </x:c>
      <x:c r="U125" s="16"/>
      <x:c r="V125" s="16"/>
      <x:c r="W125" s="16"/>
    </x:row>
    <x:row r="126" ht="22.5" customHeight="1">
      <x:c r="A126" s="16" t="str">
        <x:f>IF(C126="","",ROW()-2)</x:f>
      </x:c>
      <x:c r="B126" s="21"/>
      <x:c r="C126" s="16"/>
      <x:c r="D126" s="21"/>
      <x:c r="E126" s="16"/>
      <x:c r="F126" s="16"/>
      <x:c r="G126" s="16"/>
      <x:c r="H126" s="16"/>
      <x:c r="I126" s="16"/>
      <x:c r="J126" s="16"/>
      <x:c r="K126" s="18" t="str">
        <x:f>IF(L126="","",'参数'!$B$3+IF(ROW()=3,0,SUM($R$3:INDEX($R:$R,ROW()-1))))</x:f>
      </x:c>
      <x:c r="L126" s="18"/>
      <x:c r="M126" s="19"/>
      <x:c r="N126" s="20" t="str">
        <x:f>IF(OR(L126="",K126=""),"",L126/K126)</x:f>
      </x:c>
      <x:c r="O126" s="18" t="str">
        <x:f>IF(OR(L126="",M126=""),"",L126*M126)</x:f>
      </x:c>
      <x:c r="P126" s="18"/>
      <x:c r="Q126" s="18" t="str">
        <x:f>IF(OR(L126="",P126="",P126="未结算"),"",SWITCH(P126,"赢",L126*M126,"输",0,"走水",L126,"取消",L126,"半赢",L126*(1+(M126-1)/2),"半输",L126*0.5,""))</x:f>
      </x:c>
      <x:c r="R126" s="18" t="str">
        <x:f>IF(Q126="","",Q126-L126)</x:f>
      </x:c>
      <x:c r="S126" s="20" t="str">
        <x:f>IF(OR(L126="",R126=""),"",R126/L126)</x:f>
      </x:c>
      <x:c r="T126" s="18" t="str">
        <x:f>IF(R126="","",'参数'!$B$3+SUM($R$3:R126))</x:f>
      </x:c>
      <x:c r="U126" s="16"/>
      <x:c r="V126" s="16"/>
      <x:c r="W126" s="16"/>
    </x:row>
    <x:row r="127" ht="22.5" customHeight="1">
      <x:c r="A127" s="16" t="str">
        <x:f>IF(C127="","",ROW()-2)</x:f>
      </x:c>
      <x:c r="B127" s="21"/>
      <x:c r="C127" s="16"/>
      <x:c r="D127" s="21"/>
      <x:c r="E127" s="16"/>
      <x:c r="F127" s="16"/>
      <x:c r="G127" s="16"/>
      <x:c r="H127" s="16"/>
      <x:c r="I127" s="16"/>
      <x:c r="J127" s="16"/>
      <x:c r="K127" s="18" t="str">
        <x:f>IF(L127="","",'参数'!$B$3+IF(ROW()=3,0,SUM($R$3:INDEX($R:$R,ROW()-1))))</x:f>
      </x:c>
      <x:c r="L127" s="18"/>
      <x:c r="M127" s="19"/>
      <x:c r="N127" s="20" t="str">
        <x:f>IF(OR(L127="",K127=""),"",L127/K127)</x:f>
      </x:c>
      <x:c r="O127" s="18" t="str">
        <x:f>IF(OR(L127="",M127=""),"",L127*M127)</x:f>
      </x:c>
      <x:c r="P127" s="18"/>
      <x:c r="Q127" s="18" t="str">
        <x:f>IF(OR(L127="",P127="",P127="未结算"),"",SWITCH(P127,"赢",L127*M127,"输",0,"走水",L127,"取消",L127,"半赢",L127*(1+(M127-1)/2),"半输",L127*0.5,""))</x:f>
      </x:c>
      <x:c r="R127" s="18" t="str">
        <x:f>IF(Q127="","",Q127-L127)</x:f>
      </x:c>
      <x:c r="S127" s="20" t="str">
        <x:f>IF(OR(L127="",R127=""),"",R127/L127)</x:f>
      </x:c>
      <x:c r="T127" s="18" t="str">
        <x:f>IF(R127="","",'参数'!$B$3+SUM($R$3:R127))</x:f>
      </x:c>
      <x:c r="U127" s="16"/>
      <x:c r="V127" s="16"/>
      <x:c r="W127" s="16"/>
    </x:row>
    <x:row r="128" ht="22.5" customHeight="1">
      <x:c r="A128" s="16" t="str">
        <x:f>IF(C128="","",ROW()-2)</x:f>
      </x:c>
      <x:c r="B128" s="21"/>
      <x:c r="C128" s="16"/>
      <x:c r="D128" s="21"/>
      <x:c r="E128" s="16"/>
      <x:c r="F128" s="16"/>
      <x:c r="G128" s="16"/>
      <x:c r="H128" s="16"/>
      <x:c r="I128" s="16"/>
      <x:c r="J128" s="16"/>
      <x:c r="K128" s="18" t="str">
        <x:f>IF(L128="","",'参数'!$B$3+IF(ROW()=3,0,SUM($R$3:INDEX($R:$R,ROW()-1))))</x:f>
      </x:c>
      <x:c r="L128" s="18"/>
      <x:c r="M128" s="19"/>
      <x:c r="N128" s="20" t="str">
        <x:f>IF(OR(L128="",K128=""),"",L128/K128)</x:f>
      </x:c>
      <x:c r="O128" s="18" t="str">
        <x:f>IF(OR(L128="",M128=""),"",L128*M128)</x:f>
      </x:c>
      <x:c r="P128" s="18"/>
      <x:c r="Q128" s="18" t="str">
        <x:f>IF(OR(L128="",P128="",P128="未结算"),"",SWITCH(P128,"赢",L128*M128,"输",0,"走水",L128,"取消",L128,"半赢",L128*(1+(M128-1)/2),"半输",L128*0.5,""))</x:f>
      </x:c>
      <x:c r="R128" s="18" t="str">
        <x:f>IF(Q128="","",Q128-L128)</x:f>
      </x:c>
      <x:c r="S128" s="20" t="str">
        <x:f>IF(OR(L128="",R128=""),"",R128/L128)</x:f>
      </x:c>
      <x:c r="T128" s="18" t="str">
        <x:f>IF(R128="","",'参数'!$B$3+SUM($R$3:R128))</x:f>
      </x:c>
      <x:c r="U128" s="16"/>
      <x:c r="V128" s="16"/>
      <x:c r="W128" s="16"/>
    </x:row>
    <x:row r="129" ht="22.5" customHeight="1">
      <x:c r="A129" s="16" t="str">
        <x:f>IF(C129="","",ROW()-2)</x:f>
      </x:c>
      <x:c r="B129" s="21"/>
      <x:c r="C129" s="16"/>
      <x:c r="D129" s="21"/>
      <x:c r="E129" s="16"/>
      <x:c r="F129" s="16"/>
      <x:c r="G129" s="16"/>
      <x:c r="H129" s="16"/>
      <x:c r="I129" s="16"/>
      <x:c r="J129" s="16"/>
      <x:c r="K129" s="18" t="str">
        <x:f>IF(L129="","",'参数'!$B$3+IF(ROW()=3,0,SUM($R$3:INDEX($R:$R,ROW()-1))))</x:f>
      </x:c>
      <x:c r="L129" s="18"/>
      <x:c r="M129" s="19"/>
      <x:c r="N129" s="20" t="str">
        <x:f>IF(OR(L129="",K129=""),"",L129/K129)</x:f>
      </x:c>
      <x:c r="O129" s="18" t="str">
        <x:f>IF(OR(L129="",M129=""),"",L129*M129)</x:f>
      </x:c>
      <x:c r="P129" s="18"/>
      <x:c r="Q129" s="18" t="str">
        <x:f>IF(OR(L129="",P129="",P129="未结算"),"",SWITCH(P129,"赢",L129*M129,"输",0,"走水",L129,"取消",L129,"半赢",L129*(1+(M129-1)/2),"半输",L129*0.5,""))</x:f>
      </x:c>
      <x:c r="R129" s="18" t="str">
        <x:f>IF(Q129="","",Q129-L129)</x:f>
      </x:c>
      <x:c r="S129" s="20" t="str">
        <x:f>IF(OR(L129="",R129=""),"",R129/L129)</x:f>
      </x:c>
      <x:c r="T129" s="18" t="str">
        <x:f>IF(R129="","",'参数'!$B$3+SUM($R$3:R129))</x:f>
      </x:c>
      <x:c r="U129" s="16"/>
      <x:c r="V129" s="16"/>
      <x:c r="W129" s="16"/>
    </x:row>
    <x:row r="130" ht="22.5" customHeight="1">
      <x:c r="A130" s="16" t="str">
        <x:f>IF(C130="","",ROW()-2)</x:f>
      </x:c>
      <x:c r="B130" s="21"/>
      <x:c r="C130" s="16"/>
      <x:c r="D130" s="21"/>
      <x:c r="E130" s="16"/>
      <x:c r="F130" s="16"/>
      <x:c r="G130" s="16"/>
      <x:c r="H130" s="16"/>
      <x:c r="I130" s="16"/>
      <x:c r="J130" s="16"/>
      <x:c r="K130" s="18" t="str">
        <x:f>IF(L130="","",'参数'!$B$3+IF(ROW()=3,0,SUM($R$3:INDEX($R:$R,ROW()-1))))</x:f>
      </x:c>
      <x:c r="L130" s="18"/>
      <x:c r="M130" s="19"/>
      <x:c r="N130" s="20" t="str">
        <x:f>IF(OR(L130="",K130=""),"",L130/K130)</x:f>
      </x:c>
      <x:c r="O130" s="18" t="str">
        <x:f>IF(OR(L130="",M130=""),"",L130*M130)</x:f>
      </x:c>
      <x:c r="P130" s="18"/>
      <x:c r="Q130" s="18" t="str">
        <x:f>IF(OR(L130="",P130="",P130="未结算"),"",SWITCH(P130,"赢",L130*M130,"输",0,"走水",L130,"取消",L130,"半赢",L130*(1+(M130-1)/2),"半输",L130*0.5,""))</x:f>
      </x:c>
      <x:c r="R130" s="18" t="str">
        <x:f>IF(Q130="","",Q130-L130)</x:f>
      </x:c>
      <x:c r="S130" s="20" t="str">
        <x:f>IF(OR(L130="",R130=""),"",R130/L130)</x:f>
      </x:c>
      <x:c r="T130" s="18" t="str">
        <x:f>IF(R130="","",'参数'!$B$3+SUM($R$3:R130))</x:f>
      </x:c>
      <x:c r="U130" s="16"/>
      <x:c r="V130" s="16"/>
      <x:c r="W130" s="16"/>
    </x:row>
    <x:row r="131" ht="22.5" customHeight="1">
      <x:c r="A131" s="16" t="str">
        <x:f>IF(C131="","",ROW()-2)</x:f>
      </x:c>
      <x:c r="B131" s="21"/>
      <x:c r="C131" s="16"/>
      <x:c r="D131" s="21"/>
      <x:c r="E131" s="16"/>
      <x:c r="F131" s="16"/>
      <x:c r="G131" s="16"/>
      <x:c r="H131" s="16"/>
      <x:c r="I131" s="16"/>
      <x:c r="J131" s="16"/>
      <x:c r="K131" s="18" t="str">
        <x:f>IF(L131="","",'参数'!$B$3+IF(ROW()=3,0,SUM($R$3:INDEX($R:$R,ROW()-1))))</x:f>
      </x:c>
      <x:c r="L131" s="18"/>
      <x:c r="M131" s="19"/>
      <x:c r="N131" s="20" t="str">
        <x:f>IF(OR(L131="",K131=""),"",L131/K131)</x:f>
      </x:c>
      <x:c r="O131" s="18" t="str">
        <x:f>IF(OR(L131="",M131=""),"",L131*M131)</x:f>
      </x:c>
      <x:c r="P131" s="18"/>
      <x:c r="Q131" s="18" t="str">
        <x:f>IF(OR(L131="",P131="",P131="未结算"),"",SWITCH(P131,"赢",L131*M131,"输",0,"走水",L131,"取消",L131,"半赢",L131*(1+(M131-1)/2),"半输",L131*0.5,""))</x:f>
      </x:c>
      <x:c r="R131" s="18" t="str">
        <x:f>IF(Q131="","",Q131-L131)</x:f>
      </x:c>
      <x:c r="S131" s="20" t="str">
        <x:f>IF(OR(L131="",R131=""),"",R131/L131)</x:f>
      </x:c>
      <x:c r="T131" s="18" t="str">
        <x:f>IF(R131="","",'参数'!$B$3+SUM($R$3:R131))</x:f>
      </x:c>
      <x:c r="U131" s="16"/>
      <x:c r="V131" s="16"/>
      <x:c r="W131" s="16"/>
    </x:row>
    <x:row r="132" ht="22.5" customHeight="1">
      <x:c r="A132" s="16" t="str">
        <x:f>IF(C132="","",ROW()-2)</x:f>
      </x:c>
      <x:c r="B132" s="21"/>
      <x:c r="C132" s="16"/>
      <x:c r="D132" s="21"/>
      <x:c r="E132" s="16"/>
      <x:c r="F132" s="16"/>
      <x:c r="G132" s="16"/>
      <x:c r="H132" s="16"/>
      <x:c r="I132" s="16"/>
      <x:c r="J132" s="16"/>
      <x:c r="K132" s="18" t="str">
        <x:f>IF(L132="","",'参数'!$B$3+IF(ROW()=3,0,SUM($R$3:INDEX($R:$R,ROW()-1))))</x:f>
      </x:c>
      <x:c r="L132" s="18"/>
      <x:c r="M132" s="19"/>
      <x:c r="N132" s="20" t="str">
        <x:f>IF(OR(L132="",K132=""),"",L132/K132)</x:f>
      </x:c>
      <x:c r="O132" s="18" t="str">
        <x:f>IF(OR(L132="",M132=""),"",L132*M132)</x:f>
      </x:c>
      <x:c r="P132" s="18"/>
      <x:c r="Q132" s="18" t="str">
        <x:f>IF(OR(L132="",P132="",P132="未结算"),"",SWITCH(P132,"赢",L132*M132,"输",0,"走水",L132,"取消",L132,"半赢",L132*(1+(M132-1)/2),"半输",L132*0.5,""))</x:f>
      </x:c>
      <x:c r="R132" s="18" t="str">
        <x:f>IF(Q132="","",Q132-L132)</x:f>
      </x:c>
      <x:c r="S132" s="20" t="str">
        <x:f>IF(OR(L132="",R132=""),"",R132/L132)</x:f>
      </x:c>
      <x:c r="T132" s="18" t="str">
        <x:f>IF(R132="","",'参数'!$B$3+SUM($R$3:R132))</x:f>
      </x:c>
      <x:c r="U132" s="16"/>
      <x:c r="V132" s="16"/>
      <x:c r="W132" s="16"/>
    </x:row>
    <x:row r="133" ht="22.5" customHeight="1">
      <x:c r="A133" s="16" t="str">
        <x:f>IF(C133="","",ROW()-2)</x:f>
      </x:c>
      <x:c r="B133" s="21"/>
      <x:c r="C133" s="16"/>
      <x:c r="D133" s="21"/>
      <x:c r="E133" s="16"/>
      <x:c r="F133" s="16"/>
      <x:c r="G133" s="16"/>
      <x:c r="H133" s="16"/>
      <x:c r="I133" s="16"/>
      <x:c r="J133" s="16"/>
      <x:c r="K133" s="18" t="str">
        <x:f>IF(L133="","",'参数'!$B$3+IF(ROW()=3,0,SUM($R$3:INDEX($R:$R,ROW()-1))))</x:f>
      </x:c>
      <x:c r="L133" s="18"/>
      <x:c r="M133" s="19"/>
      <x:c r="N133" s="20" t="str">
        <x:f>IF(OR(L133="",K133=""),"",L133/K133)</x:f>
      </x:c>
      <x:c r="O133" s="18" t="str">
        <x:f>IF(OR(L133="",M133=""),"",L133*M133)</x:f>
      </x:c>
      <x:c r="P133" s="18"/>
      <x:c r="Q133" s="18" t="str">
        <x:f>IF(OR(L133="",P133="",P133="未结算"),"",SWITCH(P133,"赢",L133*M133,"输",0,"走水",L133,"取消",L133,"半赢",L133*(1+(M133-1)/2),"半输",L133*0.5,""))</x:f>
      </x:c>
      <x:c r="R133" s="18" t="str">
        <x:f>IF(Q133="","",Q133-L133)</x:f>
      </x:c>
      <x:c r="S133" s="20" t="str">
        <x:f>IF(OR(L133="",R133=""),"",R133/L133)</x:f>
      </x:c>
      <x:c r="T133" s="18" t="str">
        <x:f>IF(R133="","",'参数'!$B$3+SUM($R$3:R133))</x:f>
      </x:c>
      <x:c r="U133" s="16"/>
      <x:c r="V133" s="16"/>
      <x:c r="W133" s="16"/>
    </x:row>
    <x:row r="134" ht="22.5" customHeight="1">
      <x:c r="A134" s="16" t="str">
        <x:f>IF(C134="","",ROW()-2)</x:f>
      </x:c>
      <x:c r="B134" s="21"/>
      <x:c r="C134" s="16"/>
      <x:c r="D134" s="21"/>
      <x:c r="E134" s="16"/>
      <x:c r="F134" s="16"/>
      <x:c r="G134" s="16"/>
      <x:c r="H134" s="16"/>
      <x:c r="I134" s="16"/>
      <x:c r="J134" s="16"/>
      <x:c r="K134" s="18" t="str">
        <x:f>IF(L134="","",'参数'!$B$3+IF(ROW()=3,0,SUM($R$3:INDEX($R:$R,ROW()-1))))</x:f>
      </x:c>
      <x:c r="L134" s="18"/>
      <x:c r="M134" s="19"/>
      <x:c r="N134" s="20" t="str">
        <x:f>IF(OR(L134="",K134=""),"",L134/K134)</x:f>
      </x:c>
      <x:c r="O134" s="18" t="str">
        <x:f>IF(OR(L134="",M134=""),"",L134*M134)</x:f>
      </x:c>
      <x:c r="P134" s="18"/>
      <x:c r="Q134" s="18" t="str">
        <x:f>IF(OR(L134="",P134="",P134="未结算"),"",SWITCH(P134,"赢",L134*M134,"输",0,"走水",L134,"取消",L134,"半赢",L134*(1+(M134-1)/2),"半输",L134*0.5,""))</x:f>
      </x:c>
      <x:c r="R134" s="18" t="str">
        <x:f>IF(Q134="","",Q134-L134)</x:f>
      </x:c>
      <x:c r="S134" s="20" t="str">
        <x:f>IF(OR(L134="",R134=""),"",R134/L134)</x:f>
      </x:c>
      <x:c r="T134" s="18" t="str">
        <x:f>IF(R134="","",'参数'!$B$3+SUM($R$3:R134))</x:f>
      </x:c>
      <x:c r="U134" s="16"/>
      <x:c r="V134" s="16"/>
      <x:c r="W134" s="16"/>
    </x:row>
    <x:row r="135" ht="22.5" customHeight="1">
      <x:c r="A135" s="16" t="str">
        <x:f>IF(C135="","",ROW()-2)</x:f>
      </x:c>
      <x:c r="B135" s="21"/>
      <x:c r="C135" s="16"/>
      <x:c r="D135" s="21"/>
      <x:c r="E135" s="16"/>
      <x:c r="F135" s="16"/>
      <x:c r="G135" s="16"/>
      <x:c r="H135" s="16"/>
      <x:c r="I135" s="16"/>
      <x:c r="J135" s="16"/>
      <x:c r="K135" s="18" t="str">
        <x:f>IF(L135="","",'参数'!$B$3+IF(ROW()=3,0,SUM($R$3:INDEX($R:$R,ROW()-1))))</x:f>
      </x:c>
      <x:c r="L135" s="18"/>
      <x:c r="M135" s="19"/>
      <x:c r="N135" s="20" t="str">
        <x:f>IF(OR(L135="",K135=""),"",L135/K135)</x:f>
      </x:c>
      <x:c r="O135" s="18" t="str">
        <x:f>IF(OR(L135="",M135=""),"",L135*M135)</x:f>
      </x:c>
      <x:c r="P135" s="18"/>
      <x:c r="Q135" s="18" t="str">
        <x:f>IF(OR(L135="",P135="",P135="未结算"),"",SWITCH(P135,"赢",L135*M135,"输",0,"走水",L135,"取消",L135,"半赢",L135*(1+(M135-1)/2),"半输",L135*0.5,""))</x:f>
      </x:c>
      <x:c r="R135" s="18" t="str">
        <x:f>IF(Q135="","",Q135-L135)</x:f>
      </x:c>
      <x:c r="S135" s="20" t="str">
        <x:f>IF(OR(L135="",R135=""),"",R135/L135)</x:f>
      </x:c>
      <x:c r="T135" s="18" t="str">
        <x:f>IF(R135="","",'参数'!$B$3+SUM($R$3:R135))</x:f>
      </x:c>
      <x:c r="U135" s="16"/>
      <x:c r="V135" s="16"/>
      <x:c r="W135" s="16"/>
    </x:row>
    <x:row r="136" ht="22.5" customHeight="1">
      <x:c r="A136" s="16" t="str">
        <x:f>IF(C136="","",ROW()-2)</x:f>
      </x:c>
      <x:c r="B136" s="21"/>
      <x:c r="C136" s="16"/>
      <x:c r="D136" s="21"/>
      <x:c r="E136" s="16"/>
      <x:c r="F136" s="16"/>
      <x:c r="G136" s="16"/>
      <x:c r="H136" s="16"/>
      <x:c r="I136" s="16"/>
      <x:c r="J136" s="16"/>
      <x:c r="K136" s="18" t="str">
        <x:f>IF(L136="","",'参数'!$B$3+IF(ROW()=3,0,SUM($R$3:INDEX($R:$R,ROW()-1))))</x:f>
      </x:c>
      <x:c r="L136" s="18"/>
      <x:c r="M136" s="19"/>
      <x:c r="N136" s="20" t="str">
        <x:f>IF(OR(L136="",K136=""),"",L136/K136)</x:f>
      </x:c>
      <x:c r="O136" s="18" t="str">
        <x:f>IF(OR(L136="",M136=""),"",L136*M136)</x:f>
      </x:c>
      <x:c r="P136" s="18"/>
      <x:c r="Q136" s="18" t="str">
        <x:f>IF(OR(L136="",P136="",P136="未结算"),"",SWITCH(P136,"赢",L136*M136,"输",0,"走水",L136,"取消",L136,"半赢",L136*(1+(M136-1)/2),"半输",L136*0.5,""))</x:f>
      </x:c>
      <x:c r="R136" s="18" t="str">
        <x:f>IF(Q136="","",Q136-L136)</x:f>
      </x:c>
      <x:c r="S136" s="20" t="str">
        <x:f>IF(OR(L136="",R136=""),"",R136/L136)</x:f>
      </x:c>
      <x:c r="T136" s="18" t="str">
        <x:f>IF(R136="","",'参数'!$B$3+SUM($R$3:R136))</x:f>
      </x:c>
      <x:c r="U136" s="16"/>
      <x:c r="V136" s="16"/>
      <x:c r="W136" s="16"/>
    </x:row>
    <x:row r="137" ht="22.5" customHeight="1">
      <x:c r="A137" s="16" t="str">
        <x:f>IF(C137="","",ROW()-2)</x:f>
      </x:c>
      <x:c r="B137" s="21"/>
      <x:c r="C137" s="16"/>
      <x:c r="D137" s="21"/>
      <x:c r="E137" s="16"/>
      <x:c r="F137" s="16"/>
      <x:c r="G137" s="16"/>
      <x:c r="H137" s="16"/>
      <x:c r="I137" s="16"/>
      <x:c r="J137" s="16"/>
      <x:c r="K137" s="18" t="str">
        <x:f>IF(L137="","",'参数'!$B$3+IF(ROW()=3,0,SUM($R$3:INDEX($R:$R,ROW()-1))))</x:f>
      </x:c>
      <x:c r="L137" s="18"/>
      <x:c r="M137" s="19"/>
      <x:c r="N137" s="20" t="str">
        <x:f>IF(OR(L137="",K137=""),"",L137/K137)</x:f>
      </x:c>
      <x:c r="O137" s="18" t="str">
        <x:f>IF(OR(L137="",M137=""),"",L137*M137)</x:f>
      </x:c>
      <x:c r="P137" s="18"/>
      <x:c r="Q137" s="18" t="str">
        <x:f>IF(OR(L137="",P137="",P137="未结算"),"",SWITCH(P137,"赢",L137*M137,"输",0,"走水",L137,"取消",L137,"半赢",L137*(1+(M137-1)/2),"半输",L137*0.5,""))</x:f>
      </x:c>
      <x:c r="R137" s="18" t="str">
        <x:f>IF(Q137="","",Q137-L137)</x:f>
      </x:c>
      <x:c r="S137" s="20" t="str">
        <x:f>IF(OR(L137="",R137=""),"",R137/L137)</x:f>
      </x:c>
      <x:c r="T137" s="18" t="str">
        <x:f>IF(R137="","",'参数'!$B$3+SUM($R$3:R137))</x:f>
      </x:c>
      <x:c r="U137" s="16"/>
      <x:c r="V137" s="16"/>
      <x:c r="W137" s="16"/>
    </x:row>
    <x:row r="138" ht="22.5" customHeight="1">
      <x:c r="A138" s="16" t="str">
        <x:f>IF(C138="","",ROW()-2)</x:f>
      </x:c>
      <x:c r="B138" s="21"/>
      <x:c r="C138" s="16"/>
      <x:c r="D138" s="21"/>
      <x:c r="E138" s="16"/>
      <x:c r="F138" s="16"/>
      <x:c r="G138" s="16"/>
      <x:c r="H138" s="16"/>
      <x:c r="I138" s="16"/>
      <x:c r="J138" s="16"/>
      <x:c r="K138" s="18" t="str">
        <x:f>IF(L138="","",'参数'!$B$3+IF(ROW()=3,0,SUM($R$3:INDEX($R:$R,ROW()-1))))</x:f>
      </x:c>
      <x:c r="L138" s="18"/>
      <x:c r="M138" s="19"/>
      <x:c r="N138" s="20" t="str">
        <x:f>IF(OR(L138="",K138=""),"",L138/K138)</x:f>
      </x:c>
      <x:c r="O138" s="18" t="str">
        <x:f>IF(OR(L138="",M138=""),"",L138*M138)</x:f>
      </x:c>
      <x:c r="P138" s="18"/>
      <x:c r="Q138" s="18" t="str">
        <x:f>IF(OR(L138="",P138="",P138="未结算"),"",SWITCH(P138,"赢",L138*M138,"输",0,"走水",L138,"取消",L138,"半赢",L138*(1+(M138-1)/2),"半输",L138*0.5,""))</x:f>
      </x:c>
      <x:c r="R138" s="18" t="str">
        <x:f>IF(Q138="","",Q138-L138)</x:f>
      </x:c>
      <x:c r="S138" s="20" t="str">
        <x:f>IF(OR(L138="",R138=""),"",R138/L138)</x:f>
      </x:c>
      <x:c r="T138" s="18" t="str">
        <x:f>IF(R138="","",'参数'!$B$3+SUM($R$3:R138))</x:f>
      </x:c>
      <x:c r="U138" s="16"/>
      <x:c r="V138" s="16"/>
      <x:c r="W138" s="16"/>
    </x:row>
    <x:row r="139" ht="22.5" customHeight="1">
      <x:c r="A139" s="16" t="str">
        <x:f>IF(C139="","",ROW()-2)</x:f>
      </x:c>
      <x:c r="B139" s="21"/>
      <x:c r="C139" s="16"/>
      <x:c r="D139" s="21"/>
      <x:c r="E139" s="16"/>
      <x:c r="F139" s="16"/>
      <x:c r="G139" s="16"/>
      <x:c r="H139" s="16"/>
      <x:c r="I139" s="16"/>
      <x:c r="J139" s="16"/>
      <x:c r="K139" s="18" t="str">
        <x:f>IF(L139="","",'参数'!$B$3+IF(ROW()=3,0,SUM($R$3:INDEX($R:$R,ROW()-1))))</x:f>
      </x:c>
      <x:c r="L139" s="18"/>
      <x:c r="M139" s="19"/>
      <x:c r="N139" s="20" t="str">
        <x:f>IF(OR(L139="",K139=""),"",L139/K139)</x:f>
      </x:c>
      <x:c r="O139" s="18" t="str">
        <x:f>IF(OR(L139="",M139=""),"",L139*M139)</x:f>
      </x:c>
      <x:c r="P139" s="18"/>
      <x:c r="Q139" s="18" t="str">
        <x:f>IF(OR(L139="",P139="",P139="未结算"),"",SWITCH(P139,"赢",L139*M139,"输",0,"走水",L139,"取消",L139,"半赢",L139*(1+(M139-1)/2),"半输",L139*0.5,""))</x:f>
      </x:c>
      <x:c r="R139" s="18" t="str">
        <x:f>IF(Q139="","",Q139-L139)</x:f>
      </x:c>
      <x:c r="S139" s="20" t="str">
        <x:f>IF(OR(L139="",R139=""),"",R139/L139)</x:f>
      </x:c>
      <x:c r="T139" s="18" t="str">
        <x:f>IF(R139="","",'参数'!$B$3+SUM($R$3:R139))</x:f>
      </x:c>
      <x:c r="U139" s="16"/>
      <x:c r="V139" s="16"/>
      <x:c r="W139" s="16"/>
    </x:row>
    <x:row r="140" ht="22.5" customHeight="1">
      <x:c r="A140" s="16" t="str">
        <x:f>IF(C140="","",ROW()-2)</x:f>
      </x:c>
      <x:c r="B140" s="21"/>
      <x:c r="C140" s="16"/>
      <x:c r="D140" s="21"/>
      <x:c r="E140" s="16"/>
      <x:c r="F140" s="16"/>
      <x:c r="G140" s="16"/>
      <x:c r="H140" s="16"/>
      <x:c r="I140" s="16"/>
      <x:c r="J140" s="16"/>
      <x:c r="K140" s="18" t="str">
        <x:f>IF(L140="","",'参数'!$B$3+IF(ROW()=3,0,SUM($R$3:INDEX($R:$R,ROW()-1))))</x:f>
      </x:c>
      <x:c r="L140" s="18"/>
      <x:c r="M140" s="19"/>
      <x:c r="N140" s="20" t="str">
        <x:f>IF(OR(L140="",K140=""),"",L140/K140)</x:f>
      </x:c>
      <x:c r="O140" s="18" t="str">
        <x:f>IF(OR(L140="",M140=""),"",L140*M140)</x:f>
      </x:c>
      <x:c r="P140" s="18"/>
      <x:c r="Q140" s="18" t="str">
        <x:f>IF(OR(L140="",P140="",P140="未结算"),"",SWITCH(P140,"赢",L140*M140,"输",0,"走水",L140,"取消",L140,"半赢",L140*(1+(M140-1)/2),"半输",L140*0.5,""))</x:f>
      </x:c>
      <x:c r="R140" s="18" t="str">
        <x:f>IF(Q140="","",Q140-L140)</x:f>
      </x:c>
      <x:c r="S140" s="20" t="str">
        <x:f>IF(OR(L140="",R140=""),"",R140/L140)</x:f>
      </x:c>
      <x:c r="T140" s="18" t="str">
        <x:f>IF(R140="","",'参数'!$B$3+SUM($R$3:R140))</x:f>
      </x:c>
      <x:c r="U140" s="16"/>
      <x:c r="V140" s="16"/>
      <x:c r="W140" s="16"/>
    </x:row>
    <x:row r="141" ht="22.5" customHeight="1">
      <x:c r="A141" s="16" t="str">
        <x:f>IF(C141="","",ROW()-2)</x:f>
      </x:c>
      <x:c r="B141" s="21"/>
      <x:c r="C141" s="16"/>
      <x:c r="D141" s="21"/>
      <x:c r="E141" s="16"/>
      <x:c r="F141" s="16"/>
      <x:c r="G141" s="16"/>
      <x:c r="H141" s="16"/>
      <x:c r="I141" s="16"/>
      <x:c r="J141" s="16"/>
      <x:c r="K141" s="18" t="str">
        <x:f>IF(L141="","",'参数'!$B$3+IF(ROW()=3,0,SUM($R$3:INDEX($R:$R,ROW()-1))))</x:f>
      </x:c>
      <x:c r="L141" s="18"/>
      <x:c r="M141" s="19"/>
      <x:c r="N141" s="20" t="str">
        <x:f>IF(OR(L141="",K141=""),"",L141/K141)</x:f>
      </x:c>
      <x:c r="O141" s="18" t="str">
        <x:f>IF(OR(L141="",M141=""),"",L141*M141)</x:f>
      </x:c>
      <x:c r="P141" s="18"/>
      <x:c r="Q141" s="18" t="str">
        <x:f>IF(OR(L141="",P141="",P141="未结算"),"",SWITCH(P141,"赢",L141*M141,"输",0,"走水",L141,"取消",L141,"半赢",L141*(1+(M141-1)/2),"半输",L141*0.5,""))</x:f>
      </x:c>
      <x:c r="R141" s="18" t="str">
        <x:f>IF(Q141="","",Q141-L141)</x:f>
      </x:c>
      <x:c r="S141" s="20" t="str">
        <x:f>IF(OR(L141="",R141=""),"",R141/L141)</x:f>
      </x:c>
      <x:c r="T141" s="18" t="str">
        <x:f>IF(R141="","",'参数'!$B$3+SUM($R$3:R141))</x:f>
      </x:c>
      <x:c r="U141" s="16"/>
      <x:c r="V141" s="16"/>
      <x:c r="W141" s="16"/>
    </x:row>
    <x:row r="142" ht="22.5" customHeight="1">
      <x:c r="A142" s="16" t="str">
        <x:f>IF(C142="","",ROW()-2)</x:f>
      </x:c>
      <x:c r="B142" s="21"/>
      <x:c r="C142" s="16"/>
      <x:c r="D142" s="21"/>
      <x:c r="E142" s="16"/>
      <x:c r="F142" s="16"/>
      <x:c r="G142" s="16"/>
      <x:c r="H142" s="16"/>
      <x:c r="I142" s="16"/>
      <x:c r="J142" s="16"/>
      <x:c r="K142" s="18" t="str">
        <x:f>IF(L142="","",'参数'!$B$3+IF(ROW()=3,0,SUM($R$3:INDEX($R:$R,ROW()-1))))</x:f>
      </x:c>
      <x:c r="L142" s="18"/>
      <x:c r="M142" s="19"/>
      <x:c r="N142" s="20" t="str">
        <x:f>IF(OR(L142="",K142=""),"",L142/K142)</x:f>
      </x:c>
      <x:c r="O142" s="18" t="str">
        <x:f>IF(OR(L142="",M142=""),"",L142*M142)</x:f>
      </x:c>
      <x:c r="P142" s="18"/>
      <x:c r="Q142" s="18" t="str">
        <x:f>IF(OR(L142="",P142="",P142="未结算"),"",SWITCH(P142,"赢",L142*M142,"输",0,"走水",L142,"取消",L142,"半赢",L142*(1+(M142-1)/2),"半输",L142*0.5,""))</x:f>
      </x:c>
      <x:c r="R142" s="18" t="str">
        <x:f>IF(Q142="","",Q142-L142)</x:f>
      </x:c>
      <x:c r="S142" s="20" t="str">
        <x:f>IF(OR(L142="",R142=""),"",R142/L142)</x:f>
      </x:c>
      <x:c r="T142" s="18" t="str">
        <x:f>IF(R142="","",'参数'!$B$3+SUM($R$3:R142))</x:f>
      </x:c>
      <x:c r="U142" s="16"/>
      <x:c r="V142" s="16"/>
      <x:c r="W142" s="16"/>
    </x:row>
    <x:row r="143" ht="22.5" customHeight="1">
      <x:c r="A143" s="16" t="str">
        <x:f>IF(C143="","",ROW()-2)</x:f>
      </x:c>
      <x:c r="B143" s="21"/>
      <x:c r="C143" s="16"/>
      <x:c r="D143" s="21"/>
      <x:c r="E143" s="16"/>
      <x:c r="F143" s="16"/>
      <x:c r="G143" s="16"/>
      <x:c r="H143" s="16"/>
      <x:c r="I143" s="16"/>
      <x:c r="J143" s="16"/>
      <x:c r="K143" s="18" t="str">
        <x:f>IF(L143="","",'参数'!$B$3+IF(ROW()=3,0,SUM($R$3:INDEX($R:$R,ROW()-1))))</x:f>
      </x:c>
      <x:c r="L143" s="18"/>
      <x:c r="M143" s="19"/>
      <x:c r="N143" s="20" t="str">
        <x:f>IF(OR(L143="",K143=""),"",L143/K143)</x:f>
      </x:c>
      <x:c r="O143" s="18" t="str">
        <x:f>IF(OR(L143="",M143=""),"",L143*M143)</x:f>
      </x:c>
      <x:c r="P143" s="18"/>
      <x:c r="Q143" s="18" t="str">
        <x:f>IF(OR(L143="",P143="",P143="未结算"),"",SWITCH(P143,"赢",L143*M143,"输",0,"走水",L143,"取消",L143,"半赢",L143*(1+(M143-1)/2),"半输",L143*0.5,""))</x:f>
      </x:c>
      <x:c r="R143" s="18" t="str">
        <x:f>IF(Q143="","",Q143-L143)</x:f>
      </x:c>
      <x:c r="S143" s="20" t="str">
        <x:f>IF(OR(L143="",R143=""),"",R143/L143)</x:f>
      </x:c>
      <x:c r="T143" s="18" t="str">
        <x:f>IF(R143="","",'参数'!$B$3+SUM($R$3:R143))</x:f>
      </x:c>
      <x:c r="U143" s="16"/>
      <x:c r="V143" s="16"/>
      <x:c r="W143" s="16"/>
    </x:row>
    <x:row r="144" ht="22.5" customHeight="1">
      <x:c r="A144" s="16" t="str">
        <x:f>IF(C144="","",ROW()-2)</x:f>
      </x:c>
      <x:c r="B144" s="21"/>
      <x:c r="C144" s="16"/>
      <x:c r="D144" s="21"/>
      <x:c r="E144" s="16"/>
      <x:c r="F144" s="16"/>
      <x:c r="G144" s="16"/>
      <x:c r="H144" s="16"/>
      <x:c r="I144" s="16"/>
      <x:c r="J144" s="16"/>
      <x:c r="K144" s="18" t="str">
        <x:f>IF(L144="","",'参数'!$B$3+IF(ROW()=3,0,SUM($R$3:INDEX($R:$R,ROW()-1))))</x:f>
      </x:c>
      <x:c r="L144" s="18"/>
      <x:c r="M144" s="19"/>
      <x:c r="N144" s="20" t="str">
        <x:f>IF(OR(L144="",K144=""),"",L144/K144)</x:f>
      </x:c>
      <x:c r="O144" s="18" t="str">
        <x:f>IF(OR(L144="",M144=""),"",L144*M144)</x:f>
      </x:c>
      <x:c r="P144" s="18"/>
      <x:c r="Q144" s="18" t="str">
        <x:f>IF(OR(L144="",P144="",P144="未结算"),"",SWITCH(P144,"赢",L144*M144,"输",0,"走水",L144,"取消",L144,"半赢",L144*(1+(M144-1)/2),"半输",L144*0.5,""))</x:f>
      </x:c>
      <x:c r="R144" s="18" t="str">
        <x:f>IF(Q144="","",Q144-L144)</x:f>
      </x:c>
      <x:c r="S144" s="20" t="str">
        <x:f>IF(OR(L144="",R144=""),"",R144/L144)</x:f>
      </x:c>
      <x:c r="T144" s="18" t="str">
        <x:f>IF(R144="","",'参数'!$B$3+SUM($R$3:R144))</x:f>
      </x:c>
      <x:c r="U144" s="16"/>
      <x:c r="V144" s="16"/>
      <x:c r="W144" s="16"/>
    </x:row>
    <x:row r="145" ht="22.5" customHeight="1">
      <x:c r="A145" s="16" t="str">
        <x:f>IF(C145="","",ROW()-2)</x:f>
      </x:c>
      <x:c r="B145" s="21"/>
      <x:c r="C145" s="16"/>
      <x:c r="D145" s="21"/>
      <x:c r="E145" s="16"/>
      <x:c r="F145" s="16"/>
      <x:c r="G145" s="16"/>
      <x:c r="H145" s="16"/>
      <x:c r="I145" s="16"/>
      <x:c r="J145" s="16"/>
      <x:c r="K145" s="18" t="str">
        <x:f>IF(L145="","",'参数'!$B$3+IF(ROW()=3,0,SUM($R$3:INDEX($R:$R,ROW()-1))))</x:f>
      </x:c>
      <x:c r="L145" s="18"/>
      <x:c r="M145" s="19"/>
      <x:c r="N145" s="20" t="str">
        <x:f>IF(OR(L145="",K145=""),"",L145/K145)</x:f>
      </x:c>
      <x:c r="O145" s="18" t="str">
        <x:f>IF(OR(L145="",M145=""),"",L145*M145)</x:f>
      </x:c>
      <x:c r="P145" s="18"/>
      <x:c r="Q145" s="18" t="str">
        <x:f>IF(OR(L145="",P145="",P145="未结算"),"",SWITCH(P145,"赢",L145*M145,"输",0,"走水",L145,"取消",L145,"半赢",L145*(1+(M145-1)/2),"半输",L145*0.5,""))</x:f>
      </x:c>
      <x:c r="R145" s="18" t="str">
        <x:f>IF(Q145="","",Q145-L145)</x:f>
      </x:c>
      <x:c r="S145" s="20" t="str">
        <x:f>IF(OR(L145="",R145=""),"",R145/L145)</x:f>
      </x:c>
      <x:c r="T145" s="18" t="str">
        <x:f>IF(R145="","",'参数'!$B$3+SUM($R$3:R145))</x:f>
      </x:c>
      <x:c r="U145" s="16"/>
      <x:c r="V145" s="16"/>
      <x:c r="W145" s="16"/>
    </x:row>
    <x:row r="146" ht="22.5" customHeight="1">
      <x:c r="A146" s="16" t="str">
        <x:f>IF(C146="","",ROW()-2)</x:f>
      </x:c>
      <x:c r="B146" s="21"/>
      <x:c r="C146" s="16"/>
      <x:c r="D146" s="21"/>
      <x:c r="E146" s="16"/>
      <x:c r="F146" s="16"/>
      <x:c r="G146" s="16"/>
      <x:c r="H146" s="16"/>
      <x:c r="I146" s="16"/>
      <x:c r="J146" s="16"/>
      <x:c r="K146" s="18" t="str">
        <x:f>IF(L146="","",'参数'!$B$3+IF(ROW()=3,0,SUM($R$3:INDEX($R:$R,ROW()-1))))</x:f>
      </x:c>
      <x:c r="L146" s="18"/>
      <x:c r="M146" s="19"/>
      <x:c r="N146" s="20" t="str">
        <x:f>IF(OR(L146="",K146=""),"",L146/K146)</x:f>
      </x:c>
      <x:c r="O146" s="18" t="str">
        <x:f>IF(OR(L146="",M146=""),"",L146*M146)</x:f>
      </x:c>
      <x:c r="P146" s="18"/>
      <x:c r="Q146" s="18" t="str">
        <x:f>IF(OR(L146="",P146="",P146="未结算"),"",SWITCH(P146,"赢",L146*M146,"输",0,"走水",L146,"取消",L146,"半赢",L146*(1+(M146-1)/2),"半输",L146*0.5,""))</x:f>
      </x:c>
      <x:c r="R146" s="18" t="str">
        <x:f>IF(Q146="","",Q146-L146)</x:f>
      </x:c>
      <x:c r="S146" s="20" t="str">
        <x:f>IF(OR(L146="",R146=""),"",R146/L146)</x:f>
      </x:c>
      <x:c r="T146" s="18" t="str">
        <x:f>IF(R146="","",'参数'!$B$3+SUM($R$3:R146))</x:f>
      </x:c>
      <x:c r="U146" s="16"/>
      <x:c r="V146" s="16"/>
      <x:c r="W146" s="16"/>
    </x:row>
    <x:row r="147" ht="22.5" customHeight="1">
      <x:c r="A147" s="16" t="str">
        <x:f>IF(C147="","",ROW()-2)</x:f>
      </x:c>
      <x:c r="B147" s="21"/>
      <x:c r="C147" s="16"/>
      <x:c r="D147" s="21"/>
      <x:c r="E147" s="16"/>
      <x:c r="F147" s="16"/>
      <x:c r="G147" s="16"/>
      <x:c r="H147" s="16"/>
      <x:c r="I147" s="16"/>
      <x:c r="J147" s="16"/>
      <x:c r="K147" s="18" t="str">
        <x:f>IF(L147="","",'参数'!$B$3+IF(ROW()=3,0,SUM($R$3:INDEX($R:$R,ROW()-1))))</x:f>
      </x:c>
      <x:c r="L147" s="18"/>
      <x:c r="M147" s="19"/>
      <x:c r="N147" s="20" t="str">
        <x:f>IF(OR(L147="",K147=""),"",L147/K147)</x:f>
      </x:c>
      <x:c r="O147" s="18" t="str">
        <x:f>IF(OR(L147="",M147=""),"",L147*M147)</x:f>
      </x:c>
      <x:c r="P147" s="18"/>
      <x:c r="Q147" s="18" t="str">
        <x:f>IF(OR(L147="",P147="",P147="未结算"),"",SWITCH(P147,"赢",L147*M147,"输",0,"走水",L147,"取消",L147,"半赢",L147*(1+(M147-1)/2),"半输",L147*0.5,""))</x:f>
      </x:c>
      <x:c r="R147" s="18" t="str">
        <x:f>IF(Q147="","",Q147-L147)</x:f>
      </x:c>
      <x:c r="S147" s="20" t="str">
        <x:f>IF(OR(L147="",R147=""),"",R147/L147)</x:f>
      </x:c>
      <x:c r="T147" s="18" t="str">
        <x:f>IF(R147="","",'参数'!$B$3+SUM($R$3:R147))</x:f>
      </x:c>
      <x:c r="U147" s="16"/>
      <x:c r="V147" s="16"/>
      <x:c r="W147" s="16"/>
    </x:row>
    <x:row r="148" ht="22.5" customHeight="1">
      <x:c r="A148" s="16" t="str">
        <x:f>IF(C148="","",ROW()-2)</x:f>
      </x:c>
      <x:c r="B148" s="21"/>
      <x:c r="C148" s="16"/>
      <x:c r="D148" s="21"/>
      <x:c r="E148" s="16"/>
      <x:c r="F148" s="16"/>
      <x:c r="G148" s="16"/>
      <x:c r="H148" s="16"/>
      <x:c r="I148" s="16"/>
      <x:c r="J148" s="16"/>
      <x:c r="K148" s="18" t="str">
        <x:f>IF(L148="","",'参数'!$B$3+IF(ROW()=3,0,SUM($R$3:INDEX($R:$R,ROW()-1))))</x:f>
      </x:c>
      <x:c r="L148" s="18"/>
      <x:c r="M148" s="19"/>
      <x:c r="N148" s="20" t="str">
        <x:f>IF(OR(L148="",K148=""),"",L148/K148)</x:f>
      </x:c>
      <x:c r="O148" s="18" t="str">
        <x:f>IF(OR(L148="",M148=""),"",L148*M148)</x:f>
      </x:c>
      <x:c r="P148" s="18"/>
      <x:c r="Q148" s="18" t="str">
        <x:f>IF(OR(L148="",P148="",P148="未结算"),"",SWITCH(P148,"赢",L148*M148,"输",0,"走水",L148,"取消",L148,"半赢",L148*(1+(M148-1)/2),"半输",L148*0.5,""))</x:f>
      </x:c>
      <x:c r="R148" s="18" t="str">
        <x:f>IF(Q148="","",Q148-L148)</x:f>
      </x:c>
      <x:c r="S148" s="20" t="str">
        <x:f>IF(OR(L148="",R148=""),"",R148/L148)</x:f>
      </x:c>
      <x:c r="T148" s="18" t="str">
        <x:f>IF(R148="","",'参数'!$B$3+SUM($R$3:R148))</x:f>
      </x:c>
      <x:c r="U148" s="16"/>
      <x:c r="V148" s="16"/>
      <x:c r="W148" s="16"/>
    </x:row>
    <x:row r="149" ht="22.5" customHeight="1">
      <x:c r="A149" s="16" t="str">
        <x:f>IF(C149="","",ROW()-2)</x:f>
      </x:c>
      <x:c r="B149" s="21"/>
      <x:c r="C149" s="16"/>
      <x:c r="D149" s="21"/>
      <x:c r="E149" s="16"/>
      <x:c r="F149" s="16"/>
      <x:c r="G149" s="16"/>
      <x:c r="H149" s="16"/>
      <x:c r="I149" s="16"/>
      <x:c r="J149" s="16"/>
      <x:c r="K149" s="18" t="str">
        <x:f>IF(L149="","",'参数'!$B$3+IF(ROW()=3,0,SUM($R$3:INDEX($R:$R,ROW()-1))))</x:f>
      </x:c>
      <x:c r="L149" s="18"/>
      <x:c r="M149" s="19"/>
      <x:c r="N149" s="20" t="str">
        <x:f>IF(OR(L149="",K149=""),"",L149/K149)</x:f>
      </x:c>
      <x:c r="O149" s="18" t="str">
        <x:f>IF(OR(L149="",M149=""),"",L149*M149)</x:f>
      </x:c>
      <x:c r="P149" s="18"/>
      <x:c r="Q149" s="18" t="str">
        <x:f>IF(OR(L149="",P149="",P149="未结算"),"",SWITCH(P149,"赢",L149*M149,"输",0,"走水",L149,"取消",L149,"半赢",L149*(1+(M149-1)/2),"半输",L149*0.5,""))</x:f>
      </x:c>
      <x:c r="R149" s="18" t="str">
        <x:f>IF(Q149="","",Q149-L149)</x:f>
      </x:c>
      <x:c r="S149" s="20" t="str">
        <x:f>IF(OR(L149="",R149=""),"",R149/L149)</x:f>
      </x:c>
      <x:c r="T149" s="18" t="str">
        <x:f>IF(R149="","",'参数'!$B$3+SUM($R$3:R149))</x:f>
      </x:c>
      <x:c r="U149" s="16"/>
      <x:c r="V149" s="16"/>
      <x:c r="W149" s="16"/>
    </x:row>
    <x:row r="150" ht="22.5" customHeight="1">
      <x:c r="A150" s="16" t="str">
        <x:f>IF(C150="","",ROW()-2)</x:f>
      </x:c>
      <x:c r="B150" s="21"/>
      <x:c r="C150" s="16"/>
      <x:c r="D150" s="21"/>
      <x:c r="E150" s="16"/>
      <x:c r="F150" s="16"/>
      <x:c r="G150" s="16"/>
      <x:c r="H150" s="16"/>
      <x:c r="I150" s="16"/>
      <x:c r="J150" s="16"/>
      <x:c r="K150" s="18" t="str">
        <x:f>IF(L150="","",'参数'!$B$3+IF(ROW()=3,0,SUM($R$3:INDEX($R:$R,ROW()-1))))</x:f>
      </x:c>
      <x:c r="L150" s="18"/>
      <x:c r="M150" s="19"/>
      <x:c r="N150" s="20" t="str">
        <x:f>IF(OR(L150="",K150=""),"",L150/K150)</x:f>
      </x:c>
      <x:c r="O150" s="18" t="str">
        <x:f>IF(OR(L150="",M150=""),"",L150*M150)</x:f>
      </x:c>
      <x:c r="P150" s="18"/>
      <x:c r="Q150" s="18" t="str">
        <x:f>IF(OR(L150="",P150="",P150="未结算"),"",SWITCH(P150,"赢",L150*M150,"输",0,"走水",L150,"取消",L150,"半赢",L150*(1+(M150-1)/2),"半输",L150*0.5,""))</x:f>
      </x:c>
      <x:c r="R150" s="18" t="str">
        <x:f>IF(Q150="","",Q150-L150)</x:f>
      </x:c>
      <x:c r="S150" s="20" t="str">
        <x:f>IF(OR(L150="",R150=""),"",R150/L150)</x:f>
      </x:c>
      <x:c r="T150" s="18" t="str">
        <x:f>IF(R150="","",'参数'!$B$3+SUM($R$3:R150))</x:f>
      </x:c>
      <x:c r="U150" s="16"/>
      <x:c r="V150" s="16"/>
      <x:c r="W150" s="16"/>
    </x:row>
    <x:row r="151" ht="22.5" customHeight="1">
      <x:c r="A151" s="16" t="str">
        <x:f>IF(C151="","",ROW()-2)</x:f>
      </x:c>
      <x:c r="B151" s="21"/>
      <x:c r="C151" s="16"/>
      <x:c r="D151" s="21"/>
      <x:c r="E151" s="16"/>
      <x:c r="F151" s="16"/>
      <x:c r="G151" s="16"/>
      <x:c r="H151" s="16"/>
      <x:c r="I151" s="16"/>
      <x:c r="J151" s="16"/>
      <x:c r="K151" s="18" t="str">
        <x:f>IF(L151="","",'参数'!$B$3+IF(ROW()=3,0,SUM($R$3:INDEX($R:$R,ROW()-1))))</x:f>
      </x:c>
      <x:c r="L151" s="18"/>
      <x:c r="M151" s="19"/>
      <x:c r="N151" s="20" t="str">
        <x:f>IF(OR(L151="",K151=""),"",L151/K151)</x:f>
      </x:c>
      <x:c r="O151" s="18" t="str">
        <x:f>IF(OR(L151="",M151=""),"",L151*M151)</x:f>
      </x:c>
      <x:c r="P151" s="18"/>
      <x:c r="Q151" s="18" t="str">
        <x:f>IF(OR(L151="",P151="",P151="未结算"),"",SWITCH(P151,"赢",L151*M151,"输",0,"走水",L151,"取消",L151,"半赢",L151*(1+(M151-1)/2),"半输",L151*0.5,""))</x:f>
      </x:c>
      <x:c r="R151" s="18" t="str">
        <x:f>IF(Q151="","",Q151-L151)</x:f>
      </x:c>
      <x:c r="S151" s="20" t="str">
        <x:f>IF(OR(L151="",R151=""),"",R151/L151)</x:f>
      </x:c>
      <x:c r="T151" s="18" t="str">
        <x:f>IF(R151="","",'参数'!$B$3+SUM($R$3:R151))</x:f>
      </x:c>
      <x:c r="U151" s="16"/>
      <x:c r="V151" s="16"/>
      <x:c r="W151" s="16"/>
    </x:row>
    <x:row r="152" ht="22.5" customHeight="1">
      <x:c r="A152" s="16" t="str">
        <x:f>IF(C152="","",ROW()-2)</x:f>
      </x:c>
      <x:c r="B152" s="21"/>
      <x:c r="C152" s="16"/>
      <x:c r="D152" s="21"/>
      <x:c r="E152" s="16"/>
      <x:c r="F152" s="16"/>
      <x:c r="G152" s="16"/>
      <x:c r="H152" s="16"/>
      <x:c r="I152" s="16"/>
      <x:c r="J152" s="16"/>
      <x:c r="K152" s="18" t="str">
        <x:f>IF(L152="","",'参数'!$B$3+IF(ROW()=3,0,SUM($R$3:INDEX($R:$R,ROW()-1))))</x:f>
      </x:c>
      <x:c r="L152" s="18"/>
      <x:c r="M152" s="19"/>
      <x:c r="N152" s="20" t="str">
        <x:f>IF(OR(L152="",K152=""),"",L152/K152)</x:f>
      </x:c>
      <x:c r="O152" s="18" t="str">
        <x:f>IF(OR(L152="",M152=""),"",L152*M152)</x:f>
      </x:c>
      <x:c r="P152" s="18"/>
      <x:c r="Q152" s="18" t="str">
        <x:f>IF(OR(L152="",P152="",P152="未结算"),"",SWITCH(P152,"赢",L152*M152,"输",0,"走水",L152,"取消",L152,"半赢",L152*(1+(M152-1)/2),"半输",L152*0.5,""))</x:f>
      </x:c>
      <x:c r="R152" s="18" t="str">
        <x:f>IF(Q152="","",Q152-L152)</x:f>
      </x:c>
      <x:c r="S152" s="20" t="str">
        <x:f>IF(OR(L152="",R152=""),"",R152/L152)</x:f>
      </x:c>
      <x:c r="T152" s="18" t="str">
        <x:f>IF(R152="","",'参数'!$B$3+SUM($R$3:R152))</x:f>
      </x:c>
      <x:c r="U152" s="16"/>
      <x:c r="V152" s="16"/>
      <x:c r="W152" s="16"/>
    </x:row>
    <x:row r="153" ht="22.5" customHeight="1">
      <x:c r="A153" s="16" t="str">
        <x:f>IF(C153="","",ROW()-2)</x:f>
      </x:c>
      <x:c r="B153" s="21"/>
      <x:c r="C153" s="16"/>
      <x:c r="D153" s="21"/>
      <x:c r="E153" s="16"/>
      <x:c r="F153" s="16"/>
      <x:c r="G153" s="16"/>
      <x:c r="H153" s="16"/>
      <x:c r="I153" s="16"/>
      <x:c r="J153" s="16"/>
      <x:c r="K153" s="18" t="str">
        <x:f>IF(L153="","",'参数'!$B$3+IF(ROW()=3,0,SUM($R$3:INDEX($R:$R,ROW()-1))))</x:f>
      </x:c>
      <x:c r="L153" s="18"/>
      <x:c r="M153" s="19"/>
      <x:c r="N153" s="20" t="str">
        <x:f>IF(OR(L153="",K153=""),"",L153/K153)</x:f>
      </x:c>
      <x:c r="O153" s="18" t="str">
        <x:f>IF(OR(L153="",M153=""),"",L153*M153)</x:f>
      </x:c>
      <x:c r="P153" s="18"/>
      <x:c r="Q153" s="18" t="str">
        <x:f>IF(OR(L153="",P153="",P153="未结算"),"",SWITCH(P153,"赢",L153*M153,"输",0,"走水",L153,"取消",L153,"半赢",L153*(1+(M153-1)/2),"半输",L153*0.5,""))</x:f>
      </x:c>
      <x:c r="R153" s="18" t="str">
        <x:f>IF(Q153="","",Q153-L153)</x:f>
      </x:c>
      <x:c r="S153" s="20" t="str">
        <x:f>IF(OR(L153="",R153=""),"",R153/L153)</x:f>
      </x:c>
      <x:c r="T153" s="18" t="str">
        <x:f>IF(R153="","",'参数'!$B$3+SUM($R$3:R153))</x:f>
      </x:c>
      <x:c r="U153" s="16"/>
      <x:c r="V153" s="16"/>
      <x:c r="W153" s="16"/>
    </x:row>
    <x:row r="154" ht="22.5" customHeight="1">
      <x:c r="A154" s="16" t="str">
        <x:f>IF(C154="","",ROW()-2)</x:f>
      </x:c>
      <x:c r="B154" s="21"/>
      <x:c r="C154" s="16"/>
      <x:c r="D154" s="21"/>
      <x:c r="E154" s="16"/>
      <x:c r="F154" s="16"/>
      <x:c r="G154" s="16"/>
      <x:c r="H154" s="16"/>
      <x:c r="I154" s="16"/>
      <x:c r="J154" s="16"/>
      <x:c r="K154" s="18" t="str">
        <x:f>IF(L154="","",'参数'!$B$3+IF(ROW()=3,0,SUM($R$3:INDEX($R:$R,ROW()-1))))</x:f>
      </x:c>
      <x:c r="L154" s="18"/>
      <x:c r="M154" s="19"/>
      <x:c r="N154" s="20" t="str">
        <x:f>IF(OR(L154="",K154=""),"",L154/K154)</x:f>
      </x:c>
      <x:c r="O154" s="18" t="str">
        <x:f>IF(OR(L154="",M154=""),"",L154*M154)</x:f>
      </x:c>
      <x:c r="P154" s="18"/>
      <x:c r="Q154" s="18" t="str">
        <x:f>IF(OR(L154="",P154="",P154="未结算"),"",SWITCH(P154,"赢",L154*M154,"输",0,"走水",L154,"取消",L154,"半赢",L154*(1+(M154-1)/2),"半输",L154*0.5,""))</x:f>
      </x:c>
      <x:c r="R154" s="18" t="str">
        <x:f>IF(Q154="","",Q154-L154)</x:f>
      </x:c>
      <x:c r="S154" s="20" t="str">
        <x:f>IF(OR(L154="",R154=""),"",R154/L154)</x:f>
      </x:c>
      <x:c r="T154" s="18" t="str">
        <x:f>IF(R154="","",'参数'!$B$3+SUM($R$3:R154))</x:f>
      </x:c>
      <x:c r="U154" s="16"/>
      <x:c r="V154" s="16"/>
      <x:c r="W154" s="16"/>
    </x:row>
    <x:row r="155" ht="22.5" customHeight="1">
      <x:c r="A155" s="16" t="str">
        <x:f>IF(C155="","",ROW()-2)</x:f>
      </x:c>
      <x:c r="B155" s="21"/>
      <x:c r="C155" s="16"/>
      <x:c r="D155" s="21"/>
      <x:c r="E155" s="16"/>
      <x:c r="F155" s="16"/>
      <x:c r="G155" s="16"/>
      <x:c r="H155" s="16"/>
      <x:c r="I155" s="16"/>
      <x:c r="J155" s="16"/>
      <x:c r="K155" s="18" t="str">
        <x:f>IF(L155="","",'参数'!$B$3+IF(ROW()=3,0,SUM($R$3:INDEX($R:$R,ROW()-1))))</x:f>
      </x:c>
      <x:c r="L155" s="18"/>
      <x:c r="M155" s="19"/>
      <x:c r="N155" s="20" t="str">
        <x:f>IF(OR(L155="",K155=""),"",L155/K155)</x:f>
      </x:c>
      <x:c r="O155" s="18" t="str">
        <x:f>IF(OR(L155="",M155=""),"",L155*M155)</x:f>
      </x:c>
      <x:c r="P155" s="18"/>
      <x:c r="Q155" s="18" t="str">
        <x:f>IF(OR(L155="",P155="",P155="未结算"),"",SWITCH(P155,"赢",L155*M155,"输",0,"走水",L155,"取消",L155,"半赢",L155*(1+(M155-1)/2),"半输",L155*0.5,""))</x:f>
      </x:c>
      <x:c r="R155" s="18" t="str">
        <x:f>IF(Q155="","",Q155-L155)</x:f>
      </x:c>
      <x:c r="S155" s="20" t="str">
        <x:f>IF(OR(L155="",R155=""),"",R155/L155)</x:f>
      </x:c>
      <x:c r="T155" s="18" t="str">
        <x:f>IF(R155="","",'参数'!$B$3+SUM($R$3:R155))</x:f>
      </x:c>
      <x:c r="U155" s="16"/>
      <x:c r="V155" s="16"/>
      <x:c r="W155" s="16"/>
    </x:row>
    <x:row r="156" ht="22.5" customHeight="1">
      <x:c r="A156" s="16" t="str">
        <x:f>IF(C156="","",ROW()-2)</x:f>
      </x:c>
      <x:c r="B156" s="21"/>
      <x:c r="C156" s="16"/>
      <x:c r="D156" s="21"/>
      <x:c r="E156" s="16"/>
      <x:c r="F156" s="16"/>
      <x:c r="G156" s="16"/>
      <x:c r="H156" s="16"/>
      <x:c r="I156" s="16"/>
      <x:c r="J156" s="16"/>
      <x:c r="K156" s="18" t="str">
        <x:f>IF(L156="","",'参数'!$B$3+IF(ROW()=3,0,SUM($R$3:INDEX($R:$R,ROW()-1))))</x:f>
      </x:c>
      <x:c r="L156" s="18"/>
      <x:c r="M156" s="19"/>
      <x:c r="N156" s="20" t="str">
        <x:f>IF(OR(L156="",K156=""),"",L156/K156)</x:f>
      </x:c>
      <x:c r="O156" s="18" t="str">
        <x:f>IF(OR(L156="",M156=""),"",L156*M156)</x:f>
      </x:c>
      <x:c r="P156" s="18"/>
      <x:c r="Q156" s="18" t="str">
        <x:f>IF(OR(L156="",P156="",P156="未结算"),"",SWITCH(P156,"赢",L156*M156,"输",0,"走水",L156,"取消",L156,"半赢",L156*(1+(M156-1)/2),"半输",L156*0.5,""))</x:f>
      </x:c>
      <x:c r="R156" s="18" t="str">
        <x:f>IF(Q156="","",Q156-L156)</x:f>
      </x:c>
      <x:c r="S156" s="20" t="str">
        <x:f>IF(OR(L156="",R156=""),"",R156/L156)</x:f>
      </x:c>
      <x:c r="T156" s="18" t="str">
        <x:f>IF(R156="","",'参数'!$B$3+SUM($R$3:R156))</x:f>
      </x:c>
      <x:c r="U156" s="16"/>
      <x:c r="V156" s="16"/>
      <x:c r="W156" s="16"/>
    </x:row>
    <x:row r="157" ht="22.5" customHeight="1">
      <x:c r="A157" s="16" t="str">
        <x:f>IF(C157="","",ROW()-2)</x:f>
      </x:c>
      <x:c r="B157" s="21"/>
      <x:c r="C157" s="16"/>
      <x:c r="D157" s="21"/>
      <x:c r="E157" s="16"/>
      <x:c r="F157" s="16"/>
      <x:c r="G157" s="16"/>
      <x:c r="H157" s="16"/>
      <x:c r="I157" s="16"/>
      <x:c r="J157" s="16"/>
      <x:c r="K157" s="18" t="str">
        <x:f>IF(L157="","",'参数'!$B$3+IF(ROW()=3,0,SUM($R$3:INDEX($R:$R,ROW()-1))))</x:f>
      </x:c>
      <x:c r="L157" s="18"/>
      <x:c r="M157" s="19"/>
      <x:c r="N157" s="20" t="str">
        <x:f>IF(OR(L157="",K157=""),"",L157/K157)</x:f>
      </x:c>
      <x:c r="O157" s="18" t="str">
        <x:f>IF(OR(L157="",M157=""),"",L157*M157)</x:f>
      </x:c>
      <x:c r="P157" s="18"/>
      <x:c r="Q157" s="18" t="str">
        <x:f>IF(OR(L157="",P157="",P157="未结算"),"",SWITCH(P157,"赢",L157*M157,"输",0,"走水",L157,"取消",L157,"半赢",L157*(1+(M157-1)/2),"半输",L157*0.5,""))</x:f>
      </x:c>
      <x:c r="R157" s="18" t="str">
        <x:f>IF(Q157="","",Q157-L157)</x:f>
      </x:c>
      <x:c r="S157" s="20" t="str">
        <x:f>IF(OR(L157="",R157=""),"",R157/L157)</x:f>
      </x:c>
      <x:c r="T157" s="18" t="str">
        <x:f>IF(R157="","",'参数'!$B$3+SUM($R$3:R157))</x:f>
      </x:c>
      <x:c r="U157" s="16"/>
      <x:c r="V157" s="16"/>
      <x:c r="W157" s="16"/>
    </x:row>
    <x:row r="158" ht="22.5" customHeight="1">
      <x:c r="A158" s="16" t="str">
        <x:f>IF(C158="","",ROW()-2)</x:f>
      </x:c>
      <x:c r="B158" s="21"/>
      <x:c r="C158" s="16"/>
      <x:c r="D158" s="21"/>
      <x:c r="E158" s="16"/>
      <x:c r="F158" s="16"/>
      <x:c r="G158" s="16"/>
      <x:c r="H158" s="16"/>
      <x:c r="I158" s="16"/>
      <x:c r="J158" s="16"/>
      <x:c r="K158" s="18" t="str">
        <x:f>IF(L158="","",'参数'!$B$3+IF(ROW()=3,0,SUM($R$3:INDEX($R:$R,ROW()-1))))</x:f>
      </x:c>
      <x:c r="L158" s="18"/>
      <x:c r="M158" s="19"/>
      <x:c r="N158" s="20" t="str">
        <x:f>IF(OR(L158="",K158=""),"",L158/K158)</x:f>
      </x:c>
      <x:c r="O158" s="18" t="str">
        <x:f>IF(OR(L158="",M158=""),"",L158*M158)</x:f>
      </x:c>
      <x:c r="P158" s="18"/>
      <x:c r="Q158" s="18" t="str">
        <x:f>IF(OR(L158="",P158="",P158="未结算"),"",SWITCH(P158,"赢",L158*M158,"输",0,"走水",L158,"取消",L158,"半赢",L158*(1+(M158-1)/2),"半输",L158*0.5,""))</x:f>
      </x:c>
      <x:c r="R158" s="18" t="str">
        <x:f>IF(Q158="","",Q158-L158)</x:f>
      </x:c>
      <x:c r="S158" s="20" t="str">
        <x:f>IF(OR(L158="",R158=""),"",R158/L158)</x:f>
      </x:c>
      <x:c r="T158" s="18" t="str">
        <x:f>IF(R158="","",'参数'!$B$3+SUM($R$3:R158))</x:f>
      </x:c>
      <x:c r="U158" s="16"/>
      <x:c r="V158" s="16"/>
      <x:c r="W158" s="16"/>
    </x:row>
    <x:row r="159" ht="22.5" customHeight="1">
      <x:c r="A159" s="16" t="str">
        <x:f>IF(C159="","",ROW()-2)</x:f>
      </x:c>
      <x:c r="B159" s="21"/>
      <x:c r="C159" s="16"/>
      <x:c r="D159" s="21"/>
      <x:c r="E159" s="16"/>
      <x:c r="F159" s="16"/>
      <x:c r="G159" s="16"/>
      <x:c r="H159" s="16"/>
      <x:c r="I159" s="16"/>
      <x:c r="J159" s="16"/>
      <x:c r="K159" s="18" t="str">
        <x:f>IF(L159="","",'参数'!$B$3+IF(ROW()=3,0,SUM($R$3:INDEX($R:$R,ROW()-1))))</x:f>
      </x:c>
      <x:c r="L159" s="18"/>
      <x:c r="M159" s="19"/>
      <x:c r="N159" s="20" t="str">
        <x:f>IF(OR(L159="",K159=""),"",L159/K159)</x:f>
      </x:c>
      <x:c r="O159" s="18" t="str">
        <x:f>IF(OR(L159="",M159=""),"",L159*M159)</x:f>
      </x:c>
      <x:c r="P159" s="18"/>
      <x:c r="Q159" s="18" t="str">
        <x:f>IF(OR(L159="",P159="",P159="未结算"),"",SWITCH(P159,"赢",L159*M159,"输",0,"走水",L159,"取消",L159,"半赢",L159*(1+(M159-1)/2),"半输",L159*0.5,""))</x:f>
      </x:c>
      <x:c r="R159" s="18" t="str">
        <x:f>IF(Q159="","",Q159-L159)</x:f>
      </x:c>
      <x:c r="S159" s="20" t="str">
        <x:f>IF(OR(L159="",R159=""),"",R159/L159)</x:f>
      </x:c>
      <x:c r="T159" s="18" t="str">
        <x:f>IF(R159="","",'参数'!$B$3+SUM($R$3:R159))</x:f>
      </x:c>
      <x:c r="U159" s="16"/>
      <x:c r="V159" s="16"/>
      <x:c r="W159" s="16"/>
    </x:row>
    <x:row r="160" ht="22.5" customHeight="1">
      <x:c r="A160" s="16" t="str">
        <x:f>IF(C160="","",ROW()-2)</x:f>
      </x:c>
      <x:c r="B160" s="21"/>
      <x:c r="C160" s="16"/>
      <x:c r="D160" s="21"/>
      <x:c r="E160" s="16"/>
      <x:c r="F160" s="16"/>
      <x:c r="G160" s="16"/>
      <x:c r="H160" s="16"/>
      <x:c r="I160" s="16"/>
      <x:c r="J160" s="16"/>
      <x:c r="K160" s="18" t="str">
        <x:f>IF(L160="","",'参数'!$B$3+IF(ROW()=3,0,SUM($R$3:INDEX($R:$R,ROW()-1))))</x:f>
      </x:c>
      <x:c r="L160" s="18"/>
      <x:c r="M160" s="19"/>
      <x:c r="N160" s="20" t="str">
        <x:f>IF(OR(L160="",K160=""),"",L160/K160)</x:f>
      </x:c>
      <x:c r="O160" s="18" t="str">
        <x:f>IF(OR(L160="",M160=""),"",L160*M160)</x:f>
      </x:c>
      <x:c r="P160" s="18"/>
      <x:c r="Q160" s="18" t="str">
        <x:f>IF(OR(L160="",P160="",P160="未结算"),"",SWITCH(P160,"赢",L160*M160,"输",0,"走水",L160,"取消",L160,"半赢",L160*(1+(M160-1)/2),"半输",L160*0.5,""))</x:f>
      </x:c>
      <x:c r="R160" s="18" t="str">
        <x:f>IF(Q160="","",Q160-L160)</x:f>
      </x:c>
      <x:c r="S160" s="20" t="str">
        <x:f>IF(OR(L160="",R160=""),"",R160/L160)</x:f>
      </x:c>
      <x:c r="T160" s="18" t="str">
        <x:f>IF(R160="","",'参数'!$B$3+SUM($R$3:R160))</x:f>
      </x:c>
      <x:c r="U160" s="16"/>
      <x:c r="V160" s="16"/>
      <x:c r="W160" s="16"/>
    </x:row>
    <x:row r="161" ht="22.5" customHeight="1">
      <x:c r="A161" s="16" t="str">
        <x:f>IF(C161="","",ROW()-2)</x:f>
      </x:c>
      <x:c r="B161" s="21"/>
      <x:c r="C161" s="16"/>
      <x:c r="D161" s="21"/>
      <x:c r="E161" s="16"/>
      <x:c r="F161" s="16"/>
      <x:c r="G161" s="16"/>
      <x:c r="H161" s="16"/>
      <x:c r="I161" s="16"/>
      <x:c r="J161" s="16"/>
      <x:c r="K161" s="18" t="str">
        <x:f>IF(L161="","",'参数'!$B$3+IF(ROW()=3,0,SUM($R$3:INDEX($R:$R,ROW()-1))))</x:f>
      </x:c>
      <x:c r="L161" s="18"/>
      <x:c r="M161" s="19"/>
      <x:c r="N161" s="20" t="str">
        <x:f>IF(OR(L161="",K161=""),"",L161/K161)</x:f>
      </x:c>
      <x:c r="O161" s="18" t="str">
        <x:f>IF(OR(L161="",M161=""),"",L161*M161)</x:f>
      </x:c>
      <x:c r="P161" s="18"/>
      <x:c r="Q161" s="18" t="str">
        <x:f>IF(OR(L161="",P161="",P161="未结算"),"",SWITCH(P161,"赢",L161*M161,"输",0,"走水",L161,"取消",L161,"半赢",L161*(1+(M161-1)/2),"半输",L161*0.5,""))</x:f>
      </x:c>
      <x:c r="R161" s="18" t="str">
        <x:f>IF(Q161="","",Q161-L161)</x:f>
      </x:c>
      <x:c r="S161" s="20" t="str">
        <x:f>IF(OR(L161="",R161=""),"",R161/L161)</x:f>
      </x:c>
      <x:c r="T161" s="18" t="str">
        <x:f>IF(R161="","",'参数'!$B$3+SUM($R$3:R161))</x:f>
      </x:c>
      <x:c r="U161" s="16"/>
      <x:c r="V161" s="16"/>
      <x:c r="W161" s="16"/>
    </x:row>
    <x:row r="162" ht="22.5" customHeight="1">
      <x:c r="A162" s="16" t="str">
        <x:f>IF(C162="","",ROW()-2)</x:f>
      </x:c>
      <x:c r="B162" s="21"/>
      <x:c r="C162" s="16"/>
      <x:c r="D162" s="21"/>
      <x:c r="E162" s="16"/>
      <x:c r="F162" s="16"/>
      <x:c r="G162" s="16"/>
      <x:c r="H162" s="16"/>
      <x:c r="I162" s="16"/>
      <x:c r="J162" s="16"/>
      <x:c r="K162" s="18" t="str">
        <x:f>IF(L162="","",'参数'!$B$3+IF(ROW()=3,0,SUM($R$3:INDEX($R:$R,ROW()-1))))</x:f>
      </x:c>
      <x:c r="L162" s="18"/>
      <x:c r="M162" s="19"/>
      <x:c r="N162" s="20" t="str">
        <x:f>IF(OR(L162="",K162=""),"",L162/K162)</x:f>
      </x:c>
      <x:c r="O162" s="18" t="str">
        <x:f>IF(OR(L162="",M162=""),"",L162*M162)</x:f>
      </x:c>
      <x:c r="P162" s="18"/>
      <x:c r="Q162" s="18" t="str">
        <x:f>IF(OR(L162="",P162="",P162="未结算"),"",SWITCH(P162,"赢",L162*M162,"输",0,"走水",L162,"取消",L162,"半赢",L162*(1+(M162-1)/2),"半输",L162*0.5,""))</x:f>
      </x:c>
      <x:c r="R162" s="18" t="str">
        <x:f>IF(Q162="","",Q162-L162)</x:f>
      </x:c>
      <x:c r="S162" s="20" t="str">
        <x:f>IF(OR(L162="",R162=""),"",R162/L162)</x:f>
      </x:c>
      <x:c r="T162" s="18" t="str">
        <x:f>IF(R162="","",'参数'!$B$3+SUM($R$3:R162))</x:f>
      </x:c>
      <x:c r="U162" s="16"/>
      <x:c r="V162" s="16"/>
      <x:c r="W162" s="16"/>
    </x:row>
    <x:row r="163" ht="22.5" customHeight="1">
      <x:c r="A163" s="16" t="str">
        <x:f>IF(C163="","",ROW()-2)</x:f>
      </x:c>
      <x:c r="B163" s="21"/>
      <x:c r="C163" s="16"/>
      <x:c r="D163" s="21"/>
      <x:c r="E163" s="16"/>
      <x:c r="F163" s="16"/>
      <x:c r="G163" s="16"/>
      <x:c r="H163" s="16"/>
      <x:c r="I163" s="16"/>
      <x:c r="J163" s="16"/>
      <x:c r="K163" s="18" t="str">
        <x:f>IF(L163="","",'参数'!$B$3+IF(ROW()=3,0,SUM($R$3:INDEX($R:$R,ROW()-1))))</x:f>
      </x:c>
      <x:c r="L163" s="18"/>
      <x:c r="M163" s="19"/>
      <x:c r="N163" s="20" t="str">
        <x:f>IF(OR(L163="",K163=""),"",L163/K163)</x:f>
      </x:c>
      <x:c r="O163" s="18" t="str">
        <x:f>IF(OR(L163="",M163=""),"",L163*M163)</x:f>
      </x:c>
      <x:c r="P163" s="18"/>
      <x:c r="Q163" s="18" t="str">
        <x:f>IF(OR(L163="",P163="",P163="未结算"),"",SWITCH(P163,"赢",L163*M163,"输",0,"走水",L163,"取消",L163,"半赢",L163*(1+(M163-1)/2),"半输",L163*0.5,""))</x:f>
      </x:c>
      <x:c r="R163" s="18" t="str">
        <x:f>IF(Q163="","",Q163-L163)</x:f>
      </x:c>
      <x:c r="S163" s="20" t="str">
        <x:f>IF(OR(L163="",R163=""),"",R163/L163)</x:f>
      </x:c>
      <x:c r="T163" s="18" t="str">
        <x:f>IF(R163="","",'参数'!$B$3+SUM($R$3:R163))</x:f>
      </x:c>
      <x:c r="U163" s="16"/>
      <x:c r="V163" s="16"/>
      <x:c r="W163" s="16"/>
    </x:row>
    <x:row r="164" ht="22.5" customHeight="1">
      <x:c r="A164" s="16" t="str">
        <x:f>IF(C164="","",ROW()-2)</x:f>
      </x:c>
      <x:c r="B164" s="21"/>
      <x:c r="C164" s="16"/>
      <x:c r="D164" s="21"/>
      <x:c r="E164" s="16"/>
      <x:c r="F164" s="16"/>
      <x:c r="G164" s="16"/>
      <x:c r="H164" s="16"/>
      <x:c r="I164" s="16"/>
      <x:c r="J164" s="16"/>
      <x:c r="K164" s="18" t="str">
        <x:f>IF(L164="","",'参数'!$B$3+IF(ROW()=3,0,SUM($R$3:INDEX($R:$R,ROW()-1))))</x:f>
      </x:c>
      <x:c r="L164" s="18"/>
      <x:c r="M164" s="19"/>
      <x:c r="N164" s="20" t="str">
        <x:f>IF(OR(L164="",K164=""),"",L164/K164)</x:f>
      </x:c>
      <x:c r="O164" s="18" t="str">
        <x:f>IF(OR(L164="",M164=""),"",L164*M164)</x:f>
      </x:c>
      <x:c r="P164" s="18"/>
      <x:c r="Q164" s="18" t="str">
        <x:f>IF(OR(L164="",P164="",P164="未结算"),"",SWITCH(P164,"赢",L164*M164,"输",0,"走水",L164,"取消",L164,"半赢",L164*(1+(M164-1)/2),"半输",L164*0.5,""))</x:f>
      </x:c>
      <x:c r="R164" s="18" t="str">
        <x:f>IF(Q164="","",Q164-L164)</x:f>
      </x:c>
      <x:c r="S164" s="20" t="str">
        <x:f>IF(OR(L164="",R164=""),"",R164/L164)</x:f>
      </x:c>
      <x:c r="T164" s="18" t="str">
        <x:f>IF(R164="","",'参数'!$B$3+SUM($R$3:R164))</x:f>
      </x:c>
      <x:c r="U164" s="16"/>
      <x:c r="V164" s="16"/>
      <x:c r="W164" s="16"/>
    </x:row>
    <x:row r="165" ht="22.5" customHeight="1">
      <x:c r="A165" s="16" t="str">
        <x:f>IF(C165="","",ROW()-2)</x:f>
      </x:c>
      <x:c r="B165" s="21"/>
      <x:c r="C165" s="16"/>
      <x:c r="D165" s="21"/>
      <x:c r="E165" s="16"/>
      <x:c r="F165" s="16"/>
      <x:c r="G165" s="16"/>
      <x:c r="H165" s="16"/>
      <x:c r="I165" s="16"/>
      <x:c r="J165" s="16"/>
      <x:c r="K165" s="18" t="str">
        <x:f>IF(L165="","",'参数'!$B$3+IF(ROW()=3,0,SUM($R$3:INDEX($R:$R,ROW()-1))))</x:f>
      </x:c>
      <x:c r="L165" s="18"/>
      <x:c r="M165" s="19"/>
      <x:c r="N165" s="20" t="str">
        <x:f>IF(OR(L165="",K165=""),"",L165/K165)</x:f>
      </x:c>
      <x:c r="O165" s="18" t="str">
        <x:f>IF(OR(L165="",M165=""),"",L165*M165)</x:f>
      </x:c>
      <x:c r="P165" s="18"/>
      <x:c r="Q165" s="18" t="str">
        <x:f>IF(OR(L165="",P165="",P165="未结算"),"",SWITCH(P165,"赢",L165*M165,"输",0,"走水",L165,"取消",L165,"半赢",L165*(1+(M165-1)/2),"半输",L165*0.5,""))</x:f>
      </x:c>
      <x:c r="R165" s="18" t="str">
        <x:f>IF(Q165="","",Q165-L165)</x:f>
      </x:c>
      <x:c r="S165" s="20" t="str">
        <x:f>IF(OR(L165="",R165=""),"",R165/L165)</x:f>
      </x:c>
      <x:c r="T165" s="18" t="str">
        <x:f>IF(R165="","",'参数'!$B$3+SUM($R$3:R165))</x:f>
      </x:c>
      <x:c r="U165" s="16"/>
      <x:c r="V165" s="16"/>
      <x:c r="W165" s="16"/>
    </x:row>
    <x:row r="166" ht="22.5" customHeight="1">
      <x:c r="A166" s="16" t="str">
        <x:f>IF(C166="","",ROW()-2)</x:f>
      </x:c>
      <x:c r="B166" s="21"/>
      <x:c r="C166" s="16"/>
      <x:c r="D166" s="21"/>
      <x:c r="E166" s="16"/>
      <x:c r="F166" s="16"/>
      <x:c r="G166" s="16"/>
      <x:c r="H166" s="16"/>
      <x:c r="I166" s="16"/>
      <x:c r="J166" s="16"/>
      <x:c r="K166" s="18" t="str">
        <x:f>IF(L166="","",'参数'!$B$3+IF(ROW()=3,0,SUM($R$3:INDEX($R:$R,ROW()-1))))</x:f>
      </x:c>
      <x:c r="L166" s="18"/>
      <x:c r="M166" s="19"/>
      <x:c r="N166" s="20" t="str">
        <x:f>IF(OR(L166="",K166=""),"",L166/K166)</x:f>
      </x:c>
      <x:c r="O166" s="18" t="str">
        <x:f>IF(OR(L166="",M166=""),"",L166*M166)</x:f>
      </x:c>
      <x:c r="P166" s="18"/>
      <x:c r="Q166" s="18" t="str">
        <x:f>IF(OR(L166="",P166="",P166="未结算"),"",SWITCH(P166,"赢",L166*M166,"输",0,"走水",L166,"取消",L166,"半赢",L166*(1+(M166-1)/2),"半输",L166*0.5,""))</x:f>
      </x:c>
      <x:c r="R166" s="18" t="str">
        <x:f>IF(Q166="","",Q166-L166)</x:f>
      </x:c>
      <x:c r="S166" s="20" t="str">
        <x:f>IF(OR(L166="",R166=""),"",R166/L166)</x:f>
      </x:c>
      <x:c r="T166" s="18" t="str">
        <x:f>IF(R166="","",'参数'!$B$3+SUM($R$3:R166))</x:f>
      </x:c>
      <x:c r="U166" s="16"/>
      <x:c r="V166" s="16"/>
      <x:c r="W166" s="16"/>
    </x:row>
    <x:row r="167" ht="22.5" customHeight="1">
      <x:c r="A167" s="16" t="str">
        <x:f>IF(C167="","",ROW()-2)</x:f>
      </x:c>
      <x:c r="B167" s="21"/>
      <x:c r="C167" s="16"/>
      <x:c r="D167" s="21"/>
      <x:c r="E167" s="16"/>
      <x:c r="F167" s="16"/>
      <x:c r="G167" s="16"/>
      <x:c r="H167" s="16"/>
      <x:c r="I167" s="16"/>
      <x:c r="J167" s="16"/>
      <x:c r="K167" s="18" t="str">
        <x:f>IF(L167="","",'参数'!$B$3+IF(ROW()=3,0,SUM($R$3:INDEX($R:$R,ROW()-1))))</x:f>
      </x:c>
      <x:c r="L167" s="18"/>
      <x:c r="M167" s="19"/>
      <x:c r="N167" s="20" t="str">
        <x:f>IF(OR(L167="",K167=""),"",L167/K167)</x:f>
      </x:c>
      <x:c r="O167" s="18" t="str">
        <x:f>IF(OR(L167="",M167=""),"",L167*M167)</x:f>
      </x:c>
      <x:c r="P167" s="18"/>
      <x:c r="Q167" s="18" t="str">
        <x:f>IF(OR(L167="",P167="",P167="未结算"),"",SWITCH(P167,"赢",L167*M167,"输",0,"走水",L167,"取消",L167,"半赢",L167*(1+(M167-1)/2),"半输",L167*0.5,""))</x:f>
      </x:c>
      <x:c r="R167" s="18" t="str">
        <x:f>IF(Q167="","",Q167-L167)</x:f>
      </x:c>
      <x:c r="S167" s="20" t="str">
        <x:f>IF(OR(L167="",R167=""),"",R167/L167)</x:f>
      </x:c>
      <x:c r="T167" s="18" t="str">
        <x:f>IF(R167="","",'参数'!$B$3+SUM($R$3:R167))</x:f>
      </x:c>
      <x:c r="U167" s="16"/>
      <x:c r="V167" s="16"/>
      <x:c r="W167" s="16"/>
    </x:row>
    <x:row r="168" ht="22.5" customHeight="1">
      <x:c r="A168" s="16" t="str">
        <x:f>IF(C168="","",ROW()-2)</x:f>
      </x:c>
      <x:c r="B168" s="21"/>
      <x:c r="C168" s="16"/>
      <x:c r="D168" s="21"/>
      <x:c r="E168" s="16"/>
      <x:c r="F168" s="16"/>
      <x:c r="G168" s="16"/>
      <x:c r="H168" s="16"/>
      <x:c r="I168" s="16"/>
      <x:c r="J168" s="16"/>
      <x:c r="K168" s="18" t="str">
        <x:f>IF(L168="","",'参数'!$B$3+IF(ROW()=3,0,SUM($R$3:INDEX($R:$R,ROW()-1))))</x:f>
      </x:c>
      <x:c r="L168" s="18"/>
      <x:c r="M168" s="19"/>
      <x:c r="N168" s="20" t="str">
        <x:f>IF(OR(L168="",K168=""),"",L168/K168)</x:f>
      </x:c>
      <x:c r="O168" s="18" t="str">
        <x:f>IF(OR(L168="",M168=""),"",L168*M168)</x:f>
      </x:c>
      <x:c r="P168" s="18"/>
      <x:c r="Q168" s="18" t="str">
        <x:f>IF(OR(L168="",P168="",P168="未结算"),"",SWITCH(P168,"赢",L168*M168,"输",0,"走水",L168,"取消",L168,"半赢",L168*(1+(M168-1)/2),"半输",L168*0.5,""))</x:f>
      </x:c>
      <x:c r="R168" s="18" t="str">
        <x:f>IF(Q168="","",Q168-L168)</x:f>
      </x:c>
      <x:c r="S168" s="20" t="str">
        <x:f>IF(OR(L168="",R168=""),"",R168/L168)</x:f>
      </x:c>
      <x:c r="T168" s="18" t="str">
        <x:f>IF(R168="","",'参数'!$B$3+SUM($R$3:R168))</x:f>
      </x:c>
      <x:c r="U168" s="16"/>
      <x:c r="V168" s="16"/>
      <x:c r="W168" s="16"/>
    </x:row>
    <x:row r="169" ht="22.5" customHeight="1">
      <x:c r="A169" s="16" t="str">
        <x:f>IF(C169="","",ROW()-2)</x:f>
      </x:c>
      <x:c r="B169" s="21"/>
      <x:c r="C169" s="16"/>
      <x:c r="D169" s="21"/>
      <x:c r="E169" s="16"/>
      <x:c r="F169" s="16"/>
      <x:c r="G169" s="16"/>
      <x:c r="H169" s="16"/>
      <x:c r="I169" s="16"/>
      <x:c r="J169" s="16"/>
      <x:c r="K169" s="18" t="str">
        <x:f>IF(L169="","",'参数'!$B$3+IF(ROW()=3,0,SUM($R$3:INDEX($R:$R,ROW()-1))))</x:f>
      </x:c>
      <x:c r="L169" s="18"/>
      <x:c r="M169" s="19"/>
      <x:c r="N169" s="20" t="str">
        <x:f>IF(OR(L169="",K169=""),"",L169/K169)</x:f>
      </x:c>
      <x:c r="O169" s="18" t="str">
        <x:f>IF(OR(L169="",M169=""),"",L169*M169)</x:f>
      </x:c>
      <x:c r="P169" s="18"/>
      <x:c r="Q169" s="18" t="str">
        <x:f>IF(OR(L169="",P169="",P169="未结算"),"",SWITCH(P169,"赢",L169*M169,"输",0,"走水",L169,"取消",L169,"半赢",L169*(1+(M169-1)/2),"半输",L169*0.5,""))</x:f>
      </x:c>
      <x:c r="R169" s="18" t="str">
        <x:f>IF(Q169="","",Q169-L169)</x:f>
      </x:c>
      <x:c r="S169" s="20" t="str">
        <x:f>IF(OR(L169="",R169=""),"",R169/L169)</x:f>
      </x:c>
      <x:c r="T169" s="18" t="str">
        <x:f>IF(R169="","",'参数'!$B$3+SUM($R$3:R169))</x:f>
      </x:c>
      <x:c r="U169" s="16"/>
      <x:c r="V169" s="16"/>
      <x:c r="W169" s="16"/>
    </x:row>
    <x:row r="170" ht="22.5" customHeight="1">
      <x:c r="A170" s="16" t="str">
        <x:f>IF(C170="","",ROW()-2)</x:f>
      </x:c>
      <x:c r="B170" s="21"/>
      <x:c r="C170" s="16"/>
      <x:c r="D170" s="21"/>
      <x:c r="E170" s="16"/>
      <x:c r="F170" s="16"/>
      <x:c r="G170" s="16"/>
      <x:c r="H170" s="16"/>
      <x:c r="I170" s="16"/>
      <x:c r="J170" s="16"/>
      <x:c r="K170" s="18" t="str">
        <x:f>IF(L170="","",'参数'!$B$3+IF(ROW()=3,0,SUM($R$3:INDEX($R:$R,ROW()-1))))</x:f>
      </x:c>
      <x:c r="L170" s="18"/>
      <x:c r="M170" s="19"/>
      <x:c r="N170" s="20" t="str">
        <x:f>IF(OR(L170="",K170=""),"",L170/K170)</x:f>
      </x:c>
      <x:c r="O170" s="18" t="str">
        <x:f>IF(OR(L170="",M170=""),"",L170*M170)</x:f>
      </x:c>
      <x:c r="P170" s="18"/>
      <x:c r="Q170" s="18" t="str">
        <x:f>IF(OR(L170="",P170="",P170="未结算"),"",SWITCH(P170,"赢",L170*M170,"输",0,"走水",L170,"取消",L170,"半赢",L170*(1+(M170-1)/2),"半输",L170*0.5,""))</x:f>
      </x:c>
      <x:c r="R170" s="18" t="str">
        <x:f>IF(Q170="","",Q170-L170)</x:f>
      </x:c>
      <x:c r="S170" s="20" t="str">
        <x:f>IF(OR(L170="",R170=""),"",R170/L170)</x:f>
      </x:c>
      <x:c r="T170" s="18" t="str">
        <x:f>IF(R170="","",'参数'!$B$3+SUM($R$3:R170))</x:f>
      </x:c>
      <x:c r="U170" s="16"/>
      <x:c r="V170" s="16"/>
      <x:c r="W170" s="16"/>
    </x:row>
    <x:row r="171" ht="22.5" customHeight="1">
      <x:c r="A171" s="16" t="str">
        <x:f>IF(C171="","",ROW()-2)</x:f>
      </x:c>
      <x:c r="B171" s="21"/>
      <x:c r="C171" s="16"/>
      <x:c r="D171" s="21"/>
      <x:c r="E171" s="16"/>
      <x:c r="F171" s="16"/>
      <x:c r="G171" s="16"/>
      <x:c r="H171" s="16"/>
      <x:c r="I171" s="16"/>
      <x:c r="J171" s="16"/>
      <x:c r="K171" s="18" t="str">
        <x:f>IF(L171="","",'参数'!$B$3+IF(ROW()=3,0,SUM($R$3:INDEX($R:$R,ROW()-1))))</x:f>
      </x:c>
      <x:c r="L171" s="18"/>
      <x:c r="M171" s="19"/>
      <x:c r="N171" s="20" t="str">
        <x:f>IF(OR(L171="",K171=""),"",L171/K171)</x:f>
      </x:c>
      <x:c r="O171" s="18" t="str">
        <x:f>IF(OR(L171="",M171=""),"",L171*M171)</x:f>
      </x:c>
      <x:c r="P171" s="18"/>
      <x:c r="Q171" s="18" t="str">
        <x:f>IF(OR(L171="",P171="",P171="未结算"),"",SWITCH(P171,"赢",L171*M171,"输",0,"走水",L171,"取消",L171,"半赢",L171*(1+(M171-1)/2),"半输",L171*0.5,""))</x:f>
      </x:c>
      <x:c r="R171" s="18" t="str">
        <x:f>IF(Q171="","",Q171-L171)</x:f>
      </x:c>
      <x:c r="S171" s="20" t="str">
        <x:f>IF(OR(L171="",R171=""),"",R171/L171)</x:f>
      </x:c>
      <x:c r="T171" s="18" t="str">
        <x:f>IF(R171="","",'参数'!$B$3+SUM($R$3:R171))</x:f>
      </x:c>
      <x:c r="U171" s="16"/>
      <x:c r="V171" s="16"/>
      <x:c r="W171" s="16"/>
    </x:row>
    <x:row r="172" ht="22.5" customHeight="1">
      <x:c r="A172" s="16" t="str">
        <x:f>IF(C172="","",ROW()-2)</x:f>
      </x:c>
      <x:c r="B172" s="21"/>
      <x:c r="C172" s="16"/>
      <x:c r="D172" s="21"/>
      <x:c r="E172" s="16"/>
      <x:c r="F172" s="16"/>
      <x:c r="G172" s="16"/>
      <x:c r="H172" s="16"/>
      <x:c r="I172" s="16"/>
      <x:c r="J172" s="16"/>
      <x:c r="K172" s="18" t="str">
        <x:f>IF(L172="","",'参数'!$B$3+IF(ROW()=3,0,SUM($R$3:INDEX($R:$R,ROW()-1))))</x:f>
      </x:c>
      <x:c r="L172" s="18"/>
      <x:c r="M172" s="19"/>
      <x:c r="N172" s="20" t="str">
        <x:f>IF(OR(L172="",K172=""),"",L172/K172)</x:f>
      </x:c>
      <x:c r="O172" s="18" t="str">
        <x:f>IF(OR(L172="",M172=""),"",L172*M172)</x:f>
      </x:c>
      <x:c r="P172" s="18"/>
      <x:c r="Q172" s="18" t="str">
        <x:f>IF(OR(L172="",P172="",P172="未结算"),"",SWITCH(P172,"赢",L172*M172,"输",0,"走水",L172,"取消",L172,"半赢",L172*(1+(M172-1)/2),"半输",L172*0.5,""))</x:f>
      </x:c>
      <x:c r="R172" s="18" t="str">
        <x:f>IF(Q172="","",Q172-L172)</x:f>
      </x:c>
      <x:c r="S172" s="20" t="str">
        <x:f>IF(OR(L172="",R172=""),"",R172/L172)</x:f>
      </x:c>
      <x:c r="T172" s="18" t="str">
        <x:f>IF(R172="","",'参数'!$B$3+SUM($R$3:R172))</x:f>
      </x:c>
      <x:c r="U172" s="16"/>
      <x:c r="V172" s="16"/>
      <x:c r="W172" s="16"/>
    </x:row>
    <x:row r="173" ht="22.5" customHeight="1">
      <x:c r="A173" s="16" t="str">
        <x:f>IF(C173="","",ROW()-2)</x:f>
      </x:c>
      <x:c r="B173" s="21"/>
      <x:c r="C173" s="16"/>
      <x:c r="D173" s="21"/>
      <x:c r="E173" s="16"/>
      <x:c r="F173" s="16"/>
      <x:c r="G173" s="16"/>
      <x:c r="H173" s="16"/>
      <x:c r="I173" s="16"/>
      <x:c r="J173" s="16"/>
      <x:c r="K173" s="18" t="str">
        <x:f>IF(L173="","",'参数'!$B$3+IF(ROW()=3,0,SUM($R$3:INDEX($R:$R,ROW()-1))))</x:f>
      </x:c>
      <x:c r="L173" s="18"/>
      <x:c r="M173" s="19"/>
      <x:c r="N173" s="20" t="str">
        <x:f>IF(OR(L173="",K173=""),"",L173/K173)</x:f>
      </x:c>
      <x:c r="O173" s="18" t="str">
        <x:f>IF(OR(L173="",M173=""),"",L173*M173)</x:f>
      </x:c>
      <x:c r="P173" s="18"/>
      <x:c r="Q173" s="18" t="str">
        <x:f>IF(OR(L173="",P173="",P173="未结算"),"",SWITCH(P173,"赢",L173*M173,"输",0,"走水",L173,"取消",L173,"半赢",L173*(1+(M173-1)/2),"半输",L173*0.5,""))</x:f>
      </x:c>
      <x:c r="R173" s="18" t="str">
        <x:f>IF(Q173="","",Q173-L173)</x:f>
      </x:c>
      <x:c r="S173" s="20" t="str">
        <x:f>IF(OR(L173="",R173=""),"",R173/L173)</x:f>
      </x:c>
      <x:c r="T173" s="18" t="str">
        <x:f>IF(R173="","",'参数'!$B$3+SUM($R$3:R173))</x:f>
      </x:c>
      <x:c r="U173" s="16"/>
      <x:c r="V173" s="16"/>
      <x:c r="W173" s="16"/>
    </x:row>
    <x:row r="174" ht="22.5" customHeight="1">
      <x:c r="A174" s="16" t="str">
        <x:f>IF(C174="","",ROW()-2)</x:f>
      </x:c>
      <x:c r="B174" s="21"/>
      <x:c r="C174" s="16"/>
      <x:c r="D174" s="21"/>
      <x:c r="E174" s="16"/>
      <x:c r="F174" s="16"/>
      <x:c r="G174" s="16"/>
      <x:c r="H174" s="16"/>
      <x:c r="I174" s="16"/>
      <x:c r="J174" s="16"/>
      <x:c r="K174" s="18" t="str">
        <x:f>IF(L174="","",'参数'!$B$3+IF(ROW()=3,0,SUM($R$3:INDEX($R:$R,ROW()-1))))</x:f>
      </x:c>
      <x:c r="L174" s="18"/>
      <x:c r="M174" s="19"/>
      <x:c r="N174" s="20" t="str">
        <x:f>IF(OR(L174="",K174=""),"",L174/K174)</x:f>
      </x:c>
      <x:c r="O174" s="18" t="str">
        <x:f>IF(OR(L174="",M174=""),"",L174*M174)</x:f>
      </x:c>
      <x:c r="P174" s="18"/>
      <x:c r="Q174" s="18" t="str">
        <x:f>IF(OR(L174="",P174="",P174="未结算"),"",SWITCH(P174,"赢",L174*M174,"输",0,"走水",L174,"取消",L174,"半赢",L174*(1+(M174-1)/2),"半输",L174*0.5,""))</x:f>
      </x:c>
      <x:c r="R174" s="18" t="str">
        <x:f>IF(Q174="","",Q174-L174)</x:f>
      </x:c>
      <x:c r="S174" s="20" t="str">
        <x:f>IF(OR(L174="",R174=""),"",R174/L174)</x:f>
      </x:c>
      <x:c r="T174" s="18" t="str">
        <x:f>IF(R174="","",'参数'!$B$3+SUM($R$3:R174))</x:f>
      </x:c>
      <x:c r="U174" s="16"/>
      <x:c r="V174" s="16"/>
      <x:c r="W174" s="16"/>
    </x:row>
    <x:row r="175" ht="22.5" customHeight="1">
      <x:c r="A175" s="16" t="str">
        <x:f>IF(C175="","",ROW()-2)</x:f>
      </x:c>
      <x:c r="B175" s="21"/>
      <x:c r="C175" s="16"/>
      <x:c r="D175" s="21"/>
      <x:c r="E175" s="16"/>
      <x:c r="F175" s="16"/>
      <x:c r="G175" s="16"/>
      <x:c r="H175" s="16"/>
      <x:c r="I175" s="16"/>
      <x:c r="J175" s="16"/>
      <x:c r="K175" s="18" t="str">
        <x:f>IF(L175="","",'参数'!$B$3+IF(ROW()=3,0,SUM($R$3:INDEX($R:$R,ROW()-1))))</x:f>
      </x:c>
      <x:c r="L175" s="18"/>
      <x:c r="M175" s="19"/>
      <x:c r="N175" s="20" t="str">
        <x:f>IF(OR(L175="",K175=""),"",L175/K175)</x:f>
      </x:c>
      <x:c r="O175" s="18" t="str">
        <x:f>IF(OR(L175="",M175=""),"",L175*M175)</x:f>
      </x:c>
      <x:c r="P175" s="18"/>
      <x:c r="Q175" s="18" t="str">
        <x:f>IF(OR(L175="",P175="",P175="未结算"),"",SWITCH(P175,"赢",L175*M175,"输",0,"走水",L175,"取消",L175,"半赢",L175*(1+(M175-1)/2),"半输",L175*0.5,""))</x:f>
      </x:c>
      <x:c r="R175" s="18" t="str">
        <x:f>IF(Q175="","",Q175-L175)</x:f>
      </x:c>
      <x:c r="S175" s="20" t="str">
        <x:f>IF(OR(L175="",R175=""),"",R175/L175)</x:f>
      </x:c>
      <x:c r="T175" s="18" t="str">
        <x:f>IF(R175="","",'参数'!$B$3+SUM($R$3:R175))</x:f>
      </x:c>
      <x:c r="U175" s="16"/>
      <x:c r="V175" s="16"/>
      <x:c r="W175" s="16"/>
    </x:row>
    <x:row r="176" ht="22.5" customHeight="1">
      <x:c r="A176" s="16" t="str">
        <x:f>IF(C176="","",ROW()-2)</x:f>
      </x:c>
      <x:c r="B176" s="21"/>
      <x:c r="C176" s="16"/>
      <x:c r="D176" s="21"/>
      <x:c r="E176" s="16"/>
      <x:c r="F176" s="16"/>
      <x:c r="G176" s="16"/>
      <x:c r="H176" s="16"/>
      <x:c r="I176" s="16"/>
      <x:c r="J176" s="16"/>
      <x:c r="K176" s="18" t="str">
        <x:f>IF(L176="","",'参数'!$B$3+IF(ROW()=3,0,SUM($R$3:INDEX($R:$R,ROW()-1))))</x:f>
      </x:c>
      <x:c r="L176" s="18"/>
      <x:c r="M176" s="19"/>
      <x:c r="N176" s="20" t="str">
        <x:f>IF(OR(L176="",K176=""),"",L176/K176)</x:f>
      </x:c>
      <x:c r="O176" s="18" t="str">
        <x:f>IF(OR(L176="",M176=""),"",L176*M176)</x:f>
      </x:c>
      <x:c r="P176" s="18"/>
      <x:c r="Q176" s="18" t="str">
        <x:f>IF(OR(L176="",P176="",P176="未结算"),"",SWITCH(P176,"赢",L176*M176,"输",0,"走水",L176,"取消",L176,"半赢",L176*(1+(M176-1)/2),"半输",L176*0.5,""))</x:f>
      </x:c>
      <x:c r="R176" s="18" t="str">
        <x:f>IF(Q176="","",Q176-L176)</x:f>
      </x:c>
      <x:c r="S176" s="20" t="str">
        <x:f>IF(OR(L176="",R176=""),"",R176/L176)</x:f>
      </x:c>
      <x:c r="T176" s="18" t="str">
        <x:f>IF(R176="","",'参数'!$B$3+SUM($R$3:R176))</x:f>
      </x:c>
      <x:c r="U176" s="16"/>
      <x:c r="V176" s="16"/>
      <x:c r="W176" s="16"/>
    </x:row>
    <x:row r="177" ht="22.5" customHeight="1">
      <x:c r="A177" s="16" t="str">
        <x:f>IF(C177="","",ROW()-2)</x:f>
      </x:c>
      <x:c r="B177" s="21"/>
      <x:c r="C177" s="16"/>
      <x:c r="D177" s="21"/>
      <x:c r="E177" s="16"/>
      <x:c r="F177" s="16"/>
      <x:c r="G177" s="16"/>
      <x:c r="H177" s="16"/>
      <x:c r="I177" s="16"/>
      <x:c r="J177" s="16"/>
      <x:c r="K177" s="18" t="str">
        <x:f>IF(L177="","",'参数'!$B$3+IF(ROW()=3,0,SUM($R$3:INDEX($R:$R,ROW()-1))))</x:f>
      </x:c>
      <x:c r="L177" s="18"/>
      <x:c r="M177" s="19"/>
      <x:c r="N177" s="20" t="str">
        <x:f>IF(OR(L177="",K177=""),"",L177/K177)</x:f>
      </x:c>
      <x:c r="O177" s="18" t="str">
        <x:f>IF(OR(L177="",M177=""),"",L177*M177)</x:f>
      </x:c>
      <x:c r="P177" s="18"/>
      <x:c r="Q177" s="18" t="str">
        <x:f>IF(OR(L177="",P177="",P177="未结算"),"",SWITCH(P177,"赢",L177*M177,"输",0,"走水",L177,"取消",L177,"半赢",L177*(1+(M177-1)/2),"半输",L177*0.5,""))</x:f>
      </x:c>
      <x:c r="R177" s="18" t="str">
        <x:f>IF(Q177="","",Q177-L177)</x:f>
      </x:c>
      <x:c r="S177" s="20" t="str">
        <x:f>IF(OR(L177="",R177=""),"",R177/L177)</x:f>
      </x:c>
      <x:c r="T177" s="18" t="str">
        <x:f>IF(R177="","",'参数'!$B$3+SUM($R$3:R177))</x:f>
      </x:c>
      <x:c r="U177" s="16"/>
      <x:c r="V177" s="16"/>
      <x:c r="W177" s="16"/>
    </x:row>
    <x:row r="178" ht="22.5" customHeight="1">
      <x:c r="A178" s="16" t="str">
        <x:f>IF(C178="","",ROW()-2)</x:f>
      </x:c>
      <x:c r="B178" s="21"/>
      <x:c r="C178" s="16"/>
      <x:c r="D178" s="21"/>
      <x:c r="E178" s="16"/>
      <x:c r="F178" s="16"/>
      <x:c r="G178" s="16"/>
      <x:c r="H178" s="16"/>
      <x:c r="I178" s="16"/>
      <x:c r="J178" s="16"/>
      <x:c r="K178" s="18" t="str">
        <x:f>IF(L178="","",'参数'!$B$3+IF(ROW()=3,0,SUM($R$3:INDEX($R:$R,ROW()-1))))</x:f>
      </x:c>
      <x:c r="L178" s="18"/>
      <x:c r="M178" s="19"/>
      <x:c r="N178" s="20" t="str">
        <x:f>IF(OR(L178="",K178=""),"",L178/K178)</x:f>
      </x:c>
      <x:c r="O178" s="18" t="str">
        <x:f>IF(OR(L178="",M178=""),"",L178*M178)</x:f>
      </x:c>
      <x:c r="P178" s="18"/>
      <x:c r="Q178" s="18" t="str">
        <x:f>IF(OR(L178="",P178="",P178="未结算"),"",SWITCH(P178,"赢",L178*M178,"输",0,"走水",L178,"取消",L178,"半赢",L178*(1+(M178-1)/2),"半输",L178*0.5,""))</x:f>
      </x:c>
      <x:c r="R178" s="18" t="str">
        <x:f>IF(Q178="","",Q178-L178)</x:f>
      </x:c>
      <x:c r="S178" s="20" t="str">
        <x:f>IF(OR(L178="",R178=""),"",R178/L178)</x:f>
      </x:c>
      <x:c r="T178" s="18" t="str">
        <x:f>IF(R178="","",'参数'!$B$3+SUM($R$3:R178))</x:f>
      </x:c>
      <x:c r="U178" s="16"/>
      <x:c r="V178" s="16"/>
      <x:c r="W178" s="16"/>
    </x:row>
    <x:row r="179" ht="22.5" customHeight="1">
      <x:c r="A179" s="16" t="str">
        <x:f>IF(C179="","",ROW()-2)</x:f>
      </x:c>
      <x:c r="B179" s="21"/>
      <x:c r="C179" s="16"/>
      <x:c r="D179" s="21"/>
      <x:c r="E179" s="16"/>
      <x:c r="F179" s="16"/>
      <x:c r="G179" s="16"/>
      <x:c r="H179" s="16"/>
      <x:c r="I179" s="16"/>
      <x:c r="J179" s="16"/>
      <x:c r="K179" s="18" t="str">
        <x:f>IF(L179="","",'参数'!$B$3+IF(ROW()=3,0,SUM($R$3:INDEX($R:$R,ROW()-1))))</x:f>
      </x:c>
      <x:c r="L179" s="18"/>
      <x:c r="M179" s="19"/>
      <x:c r="N179" s="20" t="str">
        <x:f>IF(OR(L179="",K179=""),"",L179/K179)</x:f>
      </x:c>
      <x:c r="O179" s="18" t="str">
        <x:f>IF(OR(L179="",M179=""),"",L179*M179)</x:f>
      </x:c>
      <x:c r="P179" s="18"/>
      <x:c r="Q179" s="18" t="str">
        <x:f>IF(OR(L179="",P179="",P179="未结算"),"",SWITCH(P179,"赢",L179*M179,"输",0,"走水",L179,"取消",L179,"半赢",L179*(1+(M179-1)/2),"半输",L179*0.5,""))</x:f>
      </x:c>
      <x:c r="R179" s="18" t="str">
        <x:f>IF(Q179="","",Q179-L179)</x:f>
      </x:c>
      <x:c r="S179" s="20" t="str">
        <x:f>IF(OR(L179="",R179=""),"",R179/L179)</x:f>
      </x:c>
      <x:c r="T179" s="18" t="str">
        <x:f>IF(R179="","",'参数'!$B$3+SUM($R$3:R179))</x:f>
      </x:c>
      <x:c r="U179" s="16"/>
      <x:c r="V179" s="16"/>
      <x:c r="W179" s="16"/>
    </x:row>
    <x:row r="180" ht="22.5" customHeight="1">
      <x:c r="A180" s="16" t="str">
        <x:f>IF(C180="","",ROW()-2)</x:f>
      </x:c>
      <x:c r="B180" s="21"/>
      <x:c r="C180" s="16"/>
      <x:c r="D180" s="21"/>
      <x:c r="E180" s="16"/>
      <x:c r="F180" s="16"/>
      <x:c r="G180" s="16"/>
      <x:c r="H180" s="16"/>
      <x:c r="I180" s="16"/>
      <x:c r="J180" s="16"/>
      <x:c r="K180" s="18" t="str">
        <x:f>IF(L180="","",'参数'!$B$3+IF(ROW()=3,0,SUM($R$3:INDEX($R:$R,ROW()-1))))</x:f>
      </x:c>
      <x:c r="L180" s="18"/>
      <x:c r="M180" s="19"/>
      <x:c r="N180" s="20" t="str">
        <x:f>IF(OR(L180="",K180=""),"",L180/K180)</x:f>
      </x:c>
      <x:c r="O180" s="18" t="str">
        <x:f>IF(OR(L180="",M180=""),"",L180*M180)</x:f>
      </x:c>
      <x:c r="P180" s="18"/>
      <x:c r="Q180" s="18" t="str">
        <x:f>IF(OR(L180="",P180="",P180="未结算"),"",SWITCH(P180,"赢",L180*M180,"输",0,"走水",L180,"取消",L180,"半赢",L180*(1+(M180-1)/2),"半输",L180*0.5,""))</x:f>
      </x:c>
      <x:c r="R180" s="18" t="str">
        <x:f>IF(Q180="","",Q180-L180)</x:f>
      </x:c>
      <x:c r="S180" s="20" t="str">
        <x:f>IF(OR(L180="",R180=""),"",R180/L180)</x:f>
      </x:c>
      <x:c r="T180" s="18" t="str">
        <x:f>IF(R180="","",'参数'!$B$3+SUM($R$3:R180))</x:f>
      </x:c>
      <x:c r="U180" s="16"/>
      <x:c r="V180" s="16"/>
      <x:c r="W180" s="16"/>
    </x:row>
    <x:row r="181" ht="22.5" customHeight="1">
      <x:c r="A181" s="16" t="str">
        <x:f>IF(C181="","",ROW()-2)</x:f>
      </x:c>
      <x:c r="B181" s="21"/>
      <x:c r="C181" s="16"/>
      <x:c r="D181" s="21"/>
      <x:c r="E181" s="16"/>
      <x:c r="F181" s="16"/>
      <x:c r="G181" s="16"/>
      <x:c r="H181" s="16"/>
      <x:c r="I181" s="16"/>
      <x:c r="J181" s="16"/>
      <x:c r="K181" s="18" t="str">
        <x:f>IF(L181="","",'参数'!$B$3+IF(ROW()=3,0,SUM($R$3:INDEX($R:$R,ROW()-1))))</x:f>
      </x:c>
      <x:c r="L181" s="18"/>
      <x:c r="M181" s="19"/>
      <x:c r="N181" s="20" t="str">
        <x:f>IF(OR(L181="",K181=""),"",L181/K181)</x:f>
      </x:c>
      <x:c r="O181" s="18" t="str">
        <x:f>IF(OR(L181="",M181=""),"",L181*M181)</x:f>
      </x:c>
      <x:c r="P181" s="18"/>
      <x:c r="Q181" s="18" t="str">
        <x:f>IF(OR(L181="",P181="",P181="未结算"),"",SWITCH(P181,"赢",L181*M181,"输",0,"走水",L181,"取消",L181,"半赢",L181*(1+(M181-1)/2),"半输",L181*0.5,""))</x:f>
      </x:c>
      <x:c r="R181" s="18" t="str">
        <x:f>IF(Q181="","",Q181-L181)</x:f>
      </x:c>
      <x:c r="S181" s="20" t="str">
        <x:f>IF(OR(L181="",R181=""),"",R181/L181)</x:f>
      </x:c>
      <x:c r="T181" s="18" t="str">
        <x:f>IF(R181="","",'参数'!$B$3+SUM($R$3:R181))</x:f>
      </x:c>
      <x:c r="U181" s="16"/>
      <x:c r="V181" s="16"/>
      <x:c r="W181" s="16"/>
    </x:row>
    <x:row r="182" ht="22.5" customHeight="1">
      <x:c r="A182" s="16" t="str">
        <x:f>IF(C182="","",ROW()-2)</x:f>
      </x:c>
      <x:c r="B182" s="21"/>
      <x:c r="C182" s="16"/>
      <x:c r="D182" s="21"/>
      <x:c r="E182" s="16"/>
      <x:c r="F182" s="16"/>
      <x:c r="G182" s="16"/>
      <x:c r="H182" s="16"/>
      <x:c r="I182" s="16"/>
      <x:c r="J182" s="16"/>
      <x:c r="K182" s="18" t="str">
        <x:f>IF(L182="","",'参数'!$B$3+IF(ROW()=3,0,SUM($R$3:INDEX($R:$R,ROW()-1))))</x:f>
      </x:c>
      <x:c r="L182" s="18"/>
      <x:c r="M182" s="19"/>
      <x:c r="N182" s="20" t="str">
        <x:f>IF(OR(L182="",K182=""),"",L182/K182)</x:f>
      </x:c>
      <x:c r="O182" s="18" t="str">
        <x:f>IF(OR(L182="",M182=""),"",L182*M182)</x:f>
      </x:c>
      <x:c r="P182" s="18"/>
      <x:c r="Q182" s="18" t="str">
        <x:f>IF(OR(L182="",P182="",P182="未结算"),"",SWITCH(P182,"赢",L182*M182,"输",0,"走水",L182,"取消",L182,"半赢",L182*(1+(M182-1)/2),"半输",L182*0.5,""))</x:f>
      </x:c>
      <x:c r="R182" s="18" t="str">
        <x:f>IF(Q182="","",Q182-L182)</x:f>
      </x:c>
      <x:c r="S182" s="20" t="str">
        <x:f>IF(OR(L182="",R182=""),"",R182/L182)</x:f>
      </x:c>
      <x:c r="T182" s="18" t="str">
        <x:f>IF(R182="","",'参数'!$B$3+SUM($R$3:R182))</x:f>
      </x:c>
      <x:c r="U182" s="16"/>
      <x:c r="V182" s="16"/>
      <x:c r="W182" s="16"/>
    </x:row>
    <x:row r="183" ht="22.5" customHeight="1">
      <x:c r="A183" s="16" t="str">
        <x:f>IF(C183="","",ROW()-2)</x:f>
      </x:c>
      <x:c r="B183" s="21"/>
      <x:c r="C183" s="16"/>
      <x:c r="D183" s="21"/>
      <x:c r="E183" s="16"/>
      <x:c r="F183" s="16"/>
      <x:c r="G183" s="16"/>
      <x:c r="H183" s="16"/>
      <x:c r="I183" s="16"/>
      <x:c r="J183" s="16"/>
      <x:c r="K183" s="18" t="str">
        <x:f>IF(L183="","",'参数'!$B$3+IF(ROW()=3,0,SUM($R$3:INDEX($R:$R,ROW()-1))))</x:f>
      </x:c>
      <x:c r="L183" s="18"/>
      <x:c r="M183" s="19"/>
      <x:c r="N183" s="20" t="str">
        <x:f>IF(OR(L183="",K183=""),"",L183/K183)</x:f>
      </x:c>
      <x:c r="O183" s="18" t="str">
        <x:f>IF(OR(L183="",M183=""),"",L183*M183)</x:f>
      </x:c>
      <x:c r="P183" s="18"/>
      <x:c r="Q183" s="18" t="str">
        <x:f>IF(OR(L183="",P183="",P183="未结算"),"",SWITCH(P183,"赢",L183*M183,"输",0,"走水",L183,"取消",L183,"半赢",L183*(1+(M183-1)/2),"半输",L183*0.5,""))</x:f>
      </x:c>
      <x:c r="R183" s="18" t="str">
        <x:f>IF(Q183="","",Q183-L183)</x:f>
      </x:c>
      <x:c r="S183" s="20" t="str">
        <x:f>IF(OR(L183="",R183=""),"",R183/L183)</x:f>
      </x:c>
      <x:c r="T183" s="18" t="str">
        <x:f>IF(R183="","",'参数'!$B$3+SUM($R$3:R183))</x:f>
      </x:c>
      <x:c r="U183" s="16"/>
      <x:c r="V183" s="16"/>
      <x:c r="W183" s="16"/>
    </x:row>
    <x:row r="184" ht="22.5" customHeight="1">
      <x:c r="A184" s="16" t="str">
        <x:f>IF(C184="","",ROW()-2)</x:f>
      </x:c>
      <x:c r="B184" s="21"/>
      <x:c r="C184" s="16"/>
      <x:c r="D184" s="21"/>
      <x:c r="E184" s="16"/>
      <x:c r="F184" s="16"/>
      <x:c r="G184" s="16"/>
      <x:c r="H184" s="16"/>
      <x:c r="I184" s="16"/>
      <x:c r="J184" s="16"/>
      <x:c r="K184" s="18" t="str">
        <x:f>IF(L184="","",'参数'!$B$3+IF(ROW()=3,0,SUM($R$3:INDEX($R:$R,ROW()-1))))</x:f>
      </x:c>
      <x:c r="L184" s="18"/>
      <x:c r="M184" s="19"/>
      <x:c r="N184" s="20" t="str">
        <x:f>IF(OR(L184="",K184=""),"",L184/K184)</x:f>
      </x:c>
      <x:c r="O184" s="18" t="str">
        <x:f>IF(OR(L184="",M184=""),"",L184*M184)</x:f>
      </x:c>
      <x:c r="P184" s="18"/>
      <x:c r="Q184" s="18" t="str">
        <x:f>IF(OR(L184="",P184="",P184="未结算"),"",SWITCH(P184,"赢",L184*M184,"输",0,"走水",L184,"取消",L184,"半赢",L184*(1+(M184-1)/2),"半输",L184*0.5,""))</x:f>
      </x:c>
      <x:c r="R184" s="18" t="str">
        <x:f>IF(Q184="","",Q184-L184)</x:f>
      </x:c>
      <x:c r="S184" s="20" t="str">
        <x:f>IF(OR(L184="",R184=""),"",R184/L184)</x:f>
      </x:c>
      <x:c r="T184" s="18" t="str">
        <x:f>IF(R184="","",'参数'!$B$3+SUM($R$3:R184))</x:f>
      </x:c>
      <x:c r="U184" s="16"/>
      <x:c r="V184" s="16"/>
      <x:c r="W184" s="16"/>
    </x:row>
    <x:row r="185" ht="22.5" customHeight="1">
      <x:c r="A185" s="16" t="str">
        <x:f>IF(C185="","",ROW()-2)</x:f>
      </x:c>
      <x:c r="B185" s="21"/>
      <x:c r="C185" s="16"/>
      <x:c r="D185" s="21"/>
      <x:c r="E185" s="16"/>
      <x:c r="F185" s="16"/>
      <x:c r="G185" s="16"/>
      <x:c r="H185" s="16"/>
      <x:c r="I185" s="16"/>
      <x:c r="J185" s="16"/>
      <x:c r="K185" s="18" t="str">
        <x:f>IF(L185="","",'参数'!$B$3+IF(ROW()=3,0,SUM($R$3:INDEX($R:$R,ROW()-1))))</x:f>
      </x:c>
      <x:c r="L185" s="18"/>
      <x:c r="M185" s="19"/>
      <x:c r="N185" s="20" t="str">
        <x:f>IF(OR(L185="",K185=""),"",L185/K185)</x:f>
      </x:c>
      <x:c r="O185" s="18" t="str">
        <x:f>IF(OR(L185="",M185=""),"",L185*M185)</x:f>
      </x:c>
      <x:c r="P185" s="18"/>
      <x:c r="Q185" s="18" t="str">
        <x:f>IF(OR(L185="",P185="",P185="未结算"),"",SWITCH(P185,"赢",L185*M185,"输",0,"走水",L185,"取消",L185,"半赢",L185*(1+(M185-1)/2),"半输",L185*0.5,""))</x:f>
      </x:c>
      <x:c r="R185" s="18" t="str">
        <x:f>IF(Q185="","",Q185-L185)</x:f>
      </x:c>
      <x:c r="S185" s="20" t="str">
        <x:f>IF(OR(L185="",R185=""),"",R185/L185)</x:f>
      </x:c>
      <x:c r="T185" s="18" t="str">
        <x:f>IF(R185="","",'参数'!$B$3+SUM($R$3:R185))</x:f>
      </x:c>
      <x:c r="U185" s="16"/>
      <x:c r="V185" s="16"/>
      <x:c r="W185" s="16"/>
    </x:row>
    <x:row r="186" ht="22.5" customHeight="1">
      <x:c r="A186" s="16" t="str">
        <x:f>IF(C186="","",ROW()-2)</x:f>
      </x:c>
      <x:c r="B186" s="21"/>
      <x:c r="C186" s="16"/>
      <x:c r="D186" s="21"/>
      <x:c r="E186" s="16"/>
      <x:c r="F186" s="16"/>
      <x:c r="G186" s="16"/>
      <x:c r="H186" s="16"/>
      <x:c r="I186" s="16"/>
      <x:c r="J186" s="16"/>
      <x:c r="K186" s="18" t="str">
        <x:f>IF(L186="","",'参数'!$B$3+IF(ROW()=3,0,SUM($R$3:INDEX($R:$R,ROW()-1))))</x:f>
      </x:c>
      <x:c r="L186" s="18"/>
      <x:c r="M186" s="19"/>
      <x:c r="N186" s="20" t="str">
        <x:f>IF(OR(L186="",K186=""),"",L186/K186)</x:f>
      </x:c>
      <x:c r="O186" s="18" t="str">
        <x:f>IF(OR(L186="",M186=""),"",L186*M186)</x:f>
      </x:c>
      <x:c r="P186" s="18"/>
      <x:c r="Q186" s="18" t="str">
        <x:f>IF(OR(L186="",P186="",P186="未结算"),"",SWITCH(P186,"赢",L186*M186,"输",0,"走水",L186,"取消",L186,"半赢",L186*(1+(M186-1)/2),"半输",L186*0.5,""))</x:f>
      </x:c>
      <x:c r="R186" s="18" t="str">
        <x:f>IF(Q186="","",Q186-L186)</x:f>
      </x:c>
      <x:c r="S186" s="20" t="str">
        <x:f>IF(OR(L186="",R186=""),"",R186/L186)</x:f>
      </x:c>
      <x:c r="T186" s="18" t="str">
        <x:f>IF(R186="","",'参数'!$B$3+SUM($R$3:R186))</x:f>
      </x:c>
      <x:c r="U186" s="16"/>
      <x:c r="V186" s="16"/>
      <x:c r="W186" s="16"/>
    </x:row>
    <x:row r="187" ht="22.5" customHeight="1">
      <x:c r="A187" s="16" t="str">
        <x:f>IF(C187="","",ROW()-2)</x:f>
      </x:c>
      <x:c r="B187" s="21"/>
      <x:c r="C187" s="16"/>
      <x:c r="D187" s="21"/>
      <x:c r="E187" s="16"/>
      <x:c r="F187" s="16"/>
      <x:c r="G187" s="16"/>
      <x:c r="H187" s="16"/>
      <x:c r="I187" s="16"/>
      <x:c r="J187" s="16"/>
      <x:c r="K187" s="18" t="str">
        <x:f>IF(L187="","",'参数'!$B$3+IF(ROW()=3,0,SUM($R$3:INDEX($R:$R,ROW()-1))))</x:f>
      </x:c>
      <x:c r="L187" s="18"/>
      <x:c r="M187" s="19"/>
      <x:c r="N187" s="20" t="str">
        <x:f>IF(OR(L187="",K187=""),"",L187/K187)</x:f>
      </x:c>
      <x:c r="O187" s="18" t="str">
        <x:f>IF(OR(L187="",M187=""),"",L187*M187)</x:f>
      </x:c>
      <x:c r="P187" s="18"/>
      <x:c r="Q187" s="18" t="str">
        <x:f>IF(OR(L187="",P187="",P187="未结算"),"",SWITCH(P187,"赢",L187*M187,"输",0,"走水",L187,"取消",L187,"半赢",L187*(1+(M187-1)/2),"半输",L187*0.5,""))</x:f>
      </x:c>
      <x:c r="R187" s="18" t="str">
        <x:f>IF(Q187="","",Q187-L187)</x:f>
      </x:c>
      <x:c r="S187" s="20" t="str">
        <x:f>IF(OR(L187="",R187=""),"",R187/L187)</x:f>
      </x:c>
      <x:c r="T187" s="18" t="str">
        <x:f>IF(R187="","",'参数'!$B$3+SUM($R$3:R187))</x:f>
      </x:c>
      <x:c r="U187" s="16"/>
      <x:c r="V187" s="16"/>
      <x:c r="W187" s="16"/>
    </x:row>
    <x:row r="188" ht="22.5" customHeight="1">
      <x:c r="A188" s="16" t="str">
        <x:f>IF(C188="","",ROW()-2)</x:f>
      </x:c>
      <x:c r="B188" s="21"/>
      <x:c r="C188" s="16"/>
      <x:c r="D188" s="21"/>
      <x:c r="E188" s="16"/>
      <x:c r="F188" s="16"/>
      <x:c r="G188" s="16"/>
      <x:c r="H188" s="16"/>
      <x:c r="I188" s="16"/>
      <x:c r="J188" s="16"/>
      <x:c r="K188" s="18" t="str">
        <x:f>IF(L188="","",'参数'!$B$3+IF(ROW()=3,0,SUM($R$3:INDEX($R:$R,ROW()-1))))</x:f>
      </x:c>
      <x:c r="L188" s="18"/>
      <x:c r="M188" s="19"/>
      <x:c r="N188" s="20" t="str">
        <x:f>IF(OR(L188="",K188=""),"",L188/K188)</x:f>
      </x:c>
      <x:c r="O188" s="18" t="str">
        <x:f>IF(OR(L188="",M188=""),"",L188*M188)</x:f>
      </x:c>
      <x:c r="P188" s="18"/>
      <x:c r="Q188" s="18" t="str">
        <x:f>IF(OR(L188="",P188="",P188="未结算"),"",SWITCH(P188,"赢",L188*M188,"输",0,"走水",L188,"取消",L188,"半赢",L188*(1+(M188-1)/2),"半输",L188*0.5,""))</x:f>
      </x:c>
      <x:c r="R188" s="18" t="str">
        <x:f>IF(Q188="","",Q188-L188)</x:f>
      </x:c>
      <x:c r="S188" s="20" t="str">
        <x:f>IF(OR(L188="",R188=""),"",R188/L188)</x:f>
      </x:c>
      <x:c r="T188" s="18" t="str">
        <x:f>IF(R188="","",'参数'!$B$3+SUM($R$3:R188))</x:f>
      </x:c>
      <x:c r="U188" s="16"/>
      <x:c r="V188" s="16"/>
      <x:c r="W188" s="16"/>
    </x:row>
    <x:row r="189" ht="22.5" customHeight="1">
      <x:c r="A189" s="16" t="str">
        <x:f>IF(C189="","",ROW()-2)</x:f>
      </x:c>
      <x:c r="B189" s="21"/>
      <x:c r="C189" s="16"/>
      <x:c r="D189" s="21"/>
      <x:c r="E189" s="16"/>
      <x:c r="F189" s="16"/>
      <x:c r="G189" s="16"/>
      <x:c r="H189" s="16"/>
      <x:c r="I189" s="16"/>
      <x:c r="J189" s="16"/>
      <x:c r="K189" s="18" t="str">
        <x:f>IF(L189="","",'参数'!$B$3+IF(ROW()=3,0,SUM($R$3:INDEX($R:$R,ROW()-1))))</x:f>
      </x:c>
      <x:c r="L189" s="18"/>
      <x:c r="M189" s="19"/>
      <x:c r="N189" s="20" t="str">
        <x:f>IF(OR(L189="",K189=""),"",L189/K189)</x:f>
      </x:c>
      <x:c r="O189" s="18" t="str">
        <x:f>IF(OR(L189="",M189=""),"",L189*M189)</x:f>
      </x:c>
      <x:c r="P189" s="18"/>
      <x:c r="Q189" s="18" t="str">
        <x:f>IF(OR(L189="",P189="",P189="未结算"),"",SWITCH(P189,"赢",L189*M189,"输",0,"走水",L189,"取消",L189,"半赢",L189*(1+(M189-1)/2),"半输",L189*0.5,""))</x:f>
      </x:c>
      <x:c r="R189" s="18" t="str">
        <x:f>IF(Q189="","",Q189-L189)</x:f>
      </x:c>
      <x:c r="S189" s="20" t="str">
        <x:f>IF(OR(L189="",R189=""),"",R189/L189)</x:f>
      </x:c>
      <x:c r="T189" s="18" t="str">
        <x:f>IF(R189="","",'参数'!$B$3+SUM($R$3:R189))</x:f>
      </x:c>
      <x:c r="U189" s="16"/>
      <x:c r="V189" s="16"/>
      <x:c r="W189" s="16"/>
    </x:row>
    <x:row r="190" ht="22.5" customHeight="1">
      <x:c r="A190" s="16" t="str">
        <x:f>IF(C190="","",ROW()-2)</x:f>
      </x:c>
      <x:c r="B190" s="21"/>
      <x:c r="C190" s="16"/>
      <x:c r="D190" s="21"/>
      <x:c r="E190" s="16"/>
      <x:c r="F190" s="16"/>
      <x:c r="G190" s="16"/>
      <x:c r="H190" s="16"/>
      <x:c r="I190" s="16"/>
      <x:c r="J190" s="16"/>
      <x:c r="K190" s="18" t="str">
        <x:f>IF(L190="","",'参数'!$B$3+IF(ROW()=3,0,SUM($R$3:INDEX($R:$R,ROW()-1))))</x:f>
      </x:c>
      <x:c r="L190" s="18"/>
      <x:c r="M190" s="19"/>
      <x:c r="N190" s="20" t="str">
        <x:f>IF(OR(L190="",K190=""),"",L190/K190)</x:f>
      </x:c>
      <x:c r="O190" s="18" t="str">
        <x:f>IF(OR(L190="",M190=""),"",L190*M190)</x:f>
      </x:c>
      <x:c r="P190" s="18"/>
      <x:c r="Q190" s="18" t="str">
        <x:f>IF(OR(L190="",P190="",P190="未结算"),"",SWITCH(P190,"赢",L190*M190,"输",0,"走水",L190,"取消",L190,"半赢",L190*(1+(M190-1)/2),"半输",L190*0.5,""))</x:f>
      </x:c>
      <x:c r="R190" s="18" t="str">
        <x:f>IF(Q190="","",Q190-L190)</x:f>
      </x:c>
      <x:c r="S190" s="20" t="str">
        <x:f>IF(OR(L190="",R190=""),"",R190/L190)</x:f>
      </x:c>
      <x:c r="T190" s="18" t="str">
        <x:f>IF(R190="","",'参数'!$B$3+SUM($R$3:R190))</x:f>
      </x:c>
      <x:c r="U190" s="16"/>
      <x:c r="V190" s="16"/>
      <x:c r="W190" s="16"/>
    </x:row>
    <x:row r="191" ht="22.5" customHeight="1">
      <x:c r="A191" s="16" t="str">
        <x:f>IF(C191="","",ROW()-2)</x:f>
      </x:c>
      <x:c r="B191" s="21"/>
      <x:c r="C191" s="16"/>
      <x:c r="D191" s="21"/>
      <x:c r="E191" s="16"/>
      <x:c r="F191" s="16"/>
      <x:c r="G191" s="16"/>
      <x:c r="H191" s="16"/>
      <x:c r="I191" s="16"/>
      <x:c r="J191" s="16"/>
      <x:c r="K191" s="18" t="str">
        <x:f>IF(L191="","",'参数'!$B$3+IF(ROW()=3,0,SUM($R$3:INDEX($R:$R,ROW()-1))))</x:f>
      </x:c>
      <x:c r="L191" s="18"/>
      <x:c r="M191" s="19"/>
      <x:c r="N191" s="20" t="str">
        <x:f>IF(OR(L191="",K191=""),"",L191/K191)</x:f>
      </x:c>
      <x:c r="O191" s="18" t="str">
        <x:f>IF(OR(L191="",M191=""),"",L191*M191)</x:f>
      </x:c>
      <x:c r="P191" s="18"/>
      <x:c r="Q191" s="18" t="str">
        <x:f>IF(OR(L191="",P191="",P191="未结算"),"",SWITCH(P191,"赢",L191*M191,"输",0,"走水",L191,"取消",L191,"半赢",L191*(1+(M191-1)/2),"半输",L191*0.5,""))</x:f>
      </x:c>
      <x:c r="R191" s="18" t="str">
        <x:f>IF(Q191="","",Q191-L191)</x:f>
      </x:c>
      <x:c r="S191" s="20" t="str">
        <x:f>IF(OR(L191="",R191=""),"",R191/L191)</x:f>
      </x:c>
      <x:c r="T191" s="18" t="str">
        <x:f>IF(R191="","",'参数'!$B$3+SUM($R$3:R191))</x:f>
      </x:c>
      <x:c r="U191" s="16"/>
      <x:c r="V191" s="16"/>
      <x:c r="W191" s="16"/>
    </x:row>
    <x:row r="192" ht="22.5" customHeight="1">
      <x:c r="A192" s="16" t="str">
        <x:f>IF(C192="","",ROW()-2)</x:f>
      </x:c>
      <x:c r="B192" s="21"/>
      <x:c r="C192" s="16"/>
      <x:c r="D192" s="21"/>
      <x:c r="E192" s="16"/>
      <x:c r="F192" s="16"/>
      <x:c r="G192" s="16"/>
      <x:c r="H192" s="16"/>
      <x:c r="I192" s="16"/>
      <x:c r="J192" s="16"/>
      <x:c r="K192" s="18" t="str">
        <x:f>IF(L192="","",'参数'!$B$3+IF(ROW()=3,0,SUM($R$3:INDEX($R:$R,ROW()-1))))</x:f>
      </x:c>
      <x:c r="L192" s="18"/>
      <x:c r="M192" s="19"/>
      <x:c r="N192" s="20" t="str">
        <x:f>IF(OR(L192="",K192=""),"",L192/K192)</x:f>
      </x:c>
      <x:c r="O192" s="18" t="str">
        <x:f>IF(OR(L192="",M192=""),"",L192*M192)</x:f>
      </x:c>
      <x:c r="P192" s="18"/>
      <x:c r="Q192" s="18" t="str">
        <x:f>IF(OR(L192="",P192="",P192="未结算"),"",SWITCH(P192,"赢",L192*M192,"输",0,"走水",L192,"取消",L192,"半赢",L192*(1+(M192-1)/2),"半输",L192*0.5,""))</x:f>
      </x:c>
      <x:c r="R192" s="18" t="str">
        <x:f>IF(Q192="","",Q192-L192)</x:f>
      </x:c>
      <x:c r="S192" s="20" t="str">
        <x:f>IF(OR(L192="",R192=""),"",R192/L192)</x:f>
      </x:c>
      <x:c r="T192" s="18" t="str">
        <x:f>IF(R192="","",'参数'!$B$3+SUM($R$3:R192))</x:f>
      </x:c>
      <x:c r="U192" s="16"/>
      <x:c r="V192" s="16"/>
      <x:c r="W192" s="16"/>
    </x:row>
    <x:row r="193" ht="22.5" customHeight="1">
      <x:c r="A193" s="16" t="str">
        <x:f>IF(C193="","",ROW()-2)</x:f>
      </x:c>
      <x:c r="B193" s="21"/>
      <x:c r="C193" s="16"/>
      <x:c r="D193" s="21"/>
      <x:c r="E193" s="16"/>
      <x:c r="F193" s="16"/>
      <x:c r="G193" s="16"/>
      <x:c r="H193" s="16"/>
      <x:c r="I193" s="16"/>
      <x:c r="J193" s="16"/>
      <x:c r="K193" s="18" t="str">
        <x:f>IF(L193="","",'参数'!$B$3+IF(ROW()=3,0,SUM($R$3:INDEX($R:$R,ROW()-1))))</x:f>
      </x:c>
      <x:c r="L193" s="18"/>
      <x:c r="M193" s="19"/>
      <x:c r="N193" s="20" t="str">
        <x:f>IF(OR(L193="",K193=""),"",L193/K193)</x:f>
      </x:c>
      <x:c r="O193" s="18" t="str">
        <x:f>IF(OR(L193="",M193=""),"",L193*M193)</x:f>
      </x:c>
      <x:c r="P193" s="18"/>
      <x:c r="Q193" s="18" t="str">
        <x:f>IF(OR(L193="",P193="",P193="未结算"),"",SWITCH(P193,"赢",L193*M193,"输",0,"走水",L193,"取消",L193,"半赢",L193*(1+(M193-1)/2),"半输",L193*0.5,""))</x:f>
      </x:c>
      <x:c r="R193" s="18" t="str">
        <x:f>IF(Q193="","",Q193-L193)</x:f>
      </x:c>
      <x:c r="S193" s="20" t="str">
        <x:f>IF(OR(L193="",R193=""),"",R193/L193)</x:f>
      </x:c>
      <x:c r="T193" s="18" t="str">
        <x:f>IF(R193="","",'参数'!$B$3+SUM($R$3:R193))</x:f>
      </x:c>
      <x:c r="U193" s="16"/>
      <x:c r="V193" s="16"/>
      <x:c r="W193" s="16"/>
    </x:row>
    <x:row r="194" ht="22.5" customHeight="1">
      <x:c r="A194" s="16" t="str">
        <x:f>IF(C194="","",ROW()-2)</x:f>
      </x:c>
      <x:c r="B194" s="21"/>
      <x:c r="C194" s="16"/>
      <x:c r="D194" s="21"/>
      <x:c r="E194" s="16"/>
      <x:c r="F194" s="16"/>
      <x:c r="G194" s="16"/>
      <x:c r="H194" s="16"/>
      <x:c r="I194" s="16"/>
      <x:c r="J194" s="16"/>
      <x:c r="K194" s="18" t="str">
        <x:f>IF(L194="","",'参数'!$B$3+IF(ROW()=3,0,SUM($R$3:INDEX($R:$R,ROW()-1))))</x:f>
      </x:c>
      <x:c r="L194" s="18"/>
      <x:c r="M194" s="19"/>
      <x:c r="N194" s="20" t="str">
        <x:f>IF(OR(L194="",K194=""),"",L194/K194)</x:f>
      </x:c>
      <x:c r="O194" s="18" t="str">
        <x:f>IF(OR(L194="",M194=""),"",L194*M194)</x:f>
      </x:c>
      <x:c r="P194" s="18"/>
      <x:c r="Q194" s="18" t="str">
        <x:f>IF(OR(L194="",P194="",P194="未结算"),"",SWITCH(P194,"赢",L194*M194,"输",0,"走水",L194,"取消",L194,"半赢",L194*(1+(M194-1)/2),"半输",L194*0.5,""))</x:f>
      </x:c>
      <x:c r="R194" s="18" t="str">
        <x:f>IF(Q194="","",Q194-L194)</x:f>
      </x:c>
      <x:c r="S194" s="20" t="str">
        <x:f>IF(OR(L194="",R194=""),"",R194/L194)</x:f>
      </x:c>
      <x:c r="T194" s="18" t="str">
        <x:f>IF(R194="","",'参数'!$B$3+SUM($R$3:R194))</x:f>
      </x:c>
      <x:c r="U194" s="16"/>
      <x:c r="V194" s="16"/>
      <x:c r="W194" s="16"/>
    </x:row>
    <x:row r="195" ht="22.5" customHeight="1">
      <x:c r="A195" s="16" t="str">
        <x:f>IF(C195="","",ROW()-2)</x:f>
      </x:c>
      <x:c r="B195" s="21"/>
      <x:c r="C195" s="16"/>
      <x:c r="D195" s="21"/>
      <x:c r="E195" s="16"/>
      <x:c r="F195" s="16"/>
      <x:c r="G195" s="16"/>
      <x:c r="H195" s="16"/>
      <x:c r="I195" s="16"/>
      <x:c r="J195" s="16"/>
      <x:c r="K195" s="18" t="str">
        <x:f>IF(L195="","",'参数'!$B$3+IF(ROW()=3,0,SUM($R$3:INDEX($R:$R,ROW()-1))))</x:f>
      </x:c>
      <x:c r="L195" s="18"/>
      <x:c r="M195" s="19"/>
      <x:c r="N195" s="20" t="str">
        <x:f>IF(OR(L195="",K195=""),"",L195/K195)</x:f>
      </x:c>
      <x:c r="O195" s="18" t="str">
        <x:f>IF(OR(L195="",M195=""),"",L195*M195)</x:f>
      </x:c>
      <x:c r="P195" s="18"/>
      <x:c r="Q195" s="18" t="str">
        <x:f>IF(OR(L195="",P195="",P195="未结算"),"",SWITCH(P195,"赢",L195*M195,"输",0,"走水",L195,"取消",L195,"半赢",L195*(1+(M195-1)/2),"半输",L195*0.5,""))</x:f>
      </x:c>
      <x:c r="R195" s="18" t="str">
        <x:f>IF(Q195="","",Q195-L195)</x:f>
      </x:c>
      <x:c r="S195" s="20" t="str">
        <x:f>IF(OR(L195="",R195=""),"",R195/L195)</x:f>
      </x:c>
      <x:c r="T195" s="18" t="str">
        <x:f>IF(R195="","",'参数'!$B$3+SUM($R$3:R195))</x:f>
      </x:c>
      <x:c r="U195" s="16"/>
      <x:c r="V195" s="16"/>
      <x:c r="W195" s="16"/>
    </x:row>
    <x:row r="196" ht="22.5" customHeight="1">
      <x:c r="A196" s="16" t="str">
        <x:f>IF(C196="","",ROW()-2)</x:f>
      </x:c>
      <x:c r="B196" s="21"/>
      <x:c r="C196" s="16"/>
      <x:c r="D196" s="21"/>
      <x:c r="E196" s="16"/>
      <x:c r="F196" s="16"/>
      <x:c r="G196" s="16"/>
      <x:c r="H196" s="16"/>
      <x:c r="I196" s="16"/>
      <x:c r="J196" s="16"/>
      <x:c r="K196" s="18" t="str">
        <x:f>IF(L196="","",'参数'!$B$3+IF(ROW()=3,0,SUM($R$3:INDEX($R:$R,ROW()-1))))</x:f>
      </x:c>
      <x:c r="L196" s="18"/>
      <x:c r="M196" s="19"/>
      <x:c r="N196" s="20" t="str">
        <x:f>IF(OR(L196="",K196=""),"",L196/K196)</x:f>
      </x:c>
      <x:c r="O196" s="18" t="str">
        <x:f>IF(OR(L196="",M196=""),"",L196*M196)</x:f>
      </x:c>
      <x:c r="P196" s="18"/>
      <x:c r="Q196" s="18" t="str">
        <x:f>IF(OR(L196="",P196="",P196="未结算"),"",SWITCH(P196,"赢",L196*M196,"输",0,"走水",L196,"取消",L196,"半赢",L196*(1+(M196-1)/2),"半输",L196*0.5,""))</x:f>
      </x:c>
      <x:c r="R196" s="18" t="str">
        <x:f>IF(Q196="","",Q196-L196)</x:f>
      </x:c>
      <x:c r="S196" s="20" t="str">
        <x:f>IF(OR(L196="",R196=""),"",R196/L196)</x:f>
      </x:c>
      <x:c r="T196" s="18" t="str">
        <x:f>IF(R196="","",'参数'!$B$3+SUM($R$3:R196))</x:f>
      </x:c>
      <x:c r="U196" s="16"/>
      <x:c r="V196" s="16"/>
      <x:c r="W196" s="16"/>
    </x:row>
    <x:row r="197" ht="22.5" customHeight="1">
      <x:c r="A197" s="16" t="str">
        <x:f>IF(C197="","",ROW()-2)</x:f>
      </x:c>
      <x:c r="B197" s="21"/>
      <x:c r="C197" s="16"/>
      <x:c r="D197" s="21"/>
      <x:c r="E197" s="16"/>
      <x:c r="F197" s="16"/>
      <x:c r="G197" s="16"/>
      <x:c r="H197" s="16"/>
      <x:c r="I197" s="16"/>
      <x:c r="J197" s="16"/>
      <x:c r="K197" s="18" t="str">
        <x:f>IF(L197="","",'参数'!$B$3+IF(ROW()=3,0,SUM($R$3:INDEX($R:$R,ROW()-1))))</x:f>
      </x:c>
      <x:c r="L197" s="18"/>
      <x:c r="M197" s="19"/>
      <x:c r="N197" s="20" t="str">
        <x:f>IF(OR(L197="",K197=""),"",L197/K197)</x:f>
      </x:c>
      <x:c r="O197" s="18" t="str">
        <x:f>IF(OR(L197="",M197=""),"",L197*M197)</x:f>
      </x:c>
      <x:c r="P197" s="18"/>
      <x:c r="Q197" s="18" t="str">
        <x:f>IF(OR(L197="",P197="",P197="未结算"),"",SWITCH(P197,"赢",L197*M197,"输",0,"走水",L197,"取消",L197,"半赢",L197*(1+(M197-1)/2),"半输",L197*0.5,""))</x:f>
      </x:c>
      <x:c r="R197" s="18" t="str">
        <x:f>IF(Q197="","",Q197-L197)</x:f>
      </x:c>
      <x:c r="S197" s="20" t="str">
        <x:f>IF(OR(L197="",R197=""),"",R197/L197)</x:f>
      </x:c>
      <x:c r="T197" s="18" t="str">
        <x:f>IF(R197="","",'参数'!$B$3+SUM($R$3:R197))</x:f>
      </x:c>
      <x:c r="U197" s="16"/>
      <x:c r="V197" s="16"/>
      <x:c r="W197" s="16"/>
    </x:row>
    <x:row r="198" ht="22.5" customHeight="1">
      <x:c r="A198" s="16" t="str">
        <x:f>IF(C198="","",ROW()-2)</x:f>
      </x:c>
      <x:c r="B198" s="21"/>
      <x:c r="C198" s="16"/>
      <x:c r="D198" s="21"/>
      <x:c r="E198" s="16"/>
      <x:c r="F198" s="16"/>
      <x:c r="G198" s="16"/>
      <x:c r="H198" s="16"/>
      <x:c r="I198" s="16"/>
      <x:c r="J198" s="16"/>
      <x:c r="K198" s="18" t="str">
        <x:f>IF(L198="","",'参数'!$B$3+IF(ROW()=3,0,SUM($R$3:INDEX($R:$R,ROW()-1))))</x:f>
      </x:c>
      <x:c r="L198" s="18"/>
      <x:c r="M198" s="19"/>
      <x:c r="N198" s="20" t="str">
        <x:f>IF(OR(L198="",K198=""),"",L198/K198)</x:f>
      </x:c>
      <x:c r="O198" s="18" t="str">
        <x:f>IF(OR(L198="",M198=""),"",L198*M198)</x:f>
      </x:c>
      <x:c r="P198" s="18"/>
      <x:c r="Q198" s="18" t="str">
        <x:f>IF(OR(L198="",P198="",P198="未结算"),"",SWITCH(P198,"赢",L198*M198,"输",0,"走水",L198,"取消",L198,"半赢",L198*(1+(M198-1)/2),"半输",L198*0.5,""))</x:f>
      </x:c>
      <x:c r="R198" s="18" t="str">
        <x:f>IF(Q198="","",Q198-L198)</x:f>
      </x:c>
      <x:c r="S198" s="20" t="str">
        <x:f>IF(OR(L198="",R198=""),"",R198/L198)</x:f>
      </x:c>
      <x:c r="T198" s="18" t="str">
        <x:f>IF(R198="","",'参数'!$B$3+SUM($R$3:R198))</x:f>
      </x:c>
      <x:c r="U198" s="16"/>
      <x:c r="V198" s="16"/>
      <x:c r="W198" s="16"/>
    </x:row>
    <x:row r="199" ht="22.5" customHeight="1">
      <x:c r="A199" s="16" t="str">
        <x:f>IF(C199="","",ROW()-2)</x:f>
      </x:c>
      <x:c r="B199" s="21"/>
      <x:c r="C199" s="16"/>
      <x:c r="D199" s="21"/>
      <x:c r="E199" s="16"/>
      <x:c r="F199" s="16"/>
      <x:c r="G199" s="16"/>
      <x:c r="H199" s="16"/>
      <x:c r="I199" s="16"/>
      <x:c r="J199" s="16"/>
      <x:c r="K199" s="18" t="str">
        <x:f>IF(L199="","",'参数'!$B$3+IF(ROW()=3,0,SUM($R$3:INDEX($R:$R,ROW()-1))))</x:f>
      </x:c>
      <x:c r="L199" s="18"/>
      <x:c r="M199" s="19"/>
      <x:c r="N199" s="20" t="str">
        <x:f>IF(OR(L199="",K199=""),"",L199/K199)</x:f>
      </x:c>
      <x:c r="O199" s="18" t="str">
        <x:f>IF(OR(L199="",M199=""),"",L199*M199)</x:f>
      </x:c>
      <x:c r="P199" s="18"/>
      <x:c r="Q199" s="18" t="str">
        <x:f>IF(OR(L199="",P199="",P199="未结算"),"",SWITCH(P199,"赢",L199*M199,"输",0,"走水",L199,"取消",L199,"半赢",L199*(1+(M199-1)/2),"半输",L199*0.5,""))</x:f>
      </x:c>
      <x:c r="R199" s="18" t="str">
        <x:f>IF(Q199="","",Q199-L199)</x:f>
      </x:c>
      <x:c r="S199" s="20" t="str">
        <x:f>IF(OR(L199="",R199=""),"",R199/L199)</x:f>
      </x:c>
      <x:c r="T199" s="18" t="str">
        <x:f>IF(R199="","",'参数'!$B$3+SUM($R$3:R199))</x:f>
      </x:c>
      <x:c r="U199" s="16"/>
      <x:c r="V199" s="16"/>
      <x:c r="W199" s="16"/>
    </x:row>
    <x:row r="200" ht="22.5" customHeight="1">
      <x:c r="A200" s="16" t="str">
        <x:f>IF(C200="","",ROW()-2)</x:f>
      </x:c>
      <x:c r="B200" s="21"/>
      <x:c r="C200" s="16"/>
      <x:c r="D200" s="21"/>
      <x:c r="E200" s="16"/>
      <x:c r="F200" s="16"/>
      <x:c r="G200" s="16"/>
      <x:c r="H200" s="16"/>
      <x:c r="I200" s="16"/>
      <x:c r="J200" s="16"/>
      <x:c r="K200" s="18" t="str">
        <x:f>IF(L200="","",'参数'!$B$3+IF(ROW()=3,0,SUM($R$3:INDEX($R:$R,ROW()-1))))</x:f>
      </x:c>
      <x:c r="L200" s="18"/>
      <x:c r="M200" s="19"/>
      <x:c r="N200" s="20" t="str">
        <x:f>IF(OR(L200="",K200=""),"",L200/K200)</x:f>
      </x:c>
      <x:c r="O200" s="18" t="str">
        <x:f>IF(OR(L200="",M200=""),"",L200*M200)</x:f>
      </x:c>
      <x:c r="P200" s="18"/>
      <x:c r="Q200" s="18" t="str">
        <x:f>IF(OR(L200="",P200="",P200="未结算"),"",SWITCH(P200,"赢",L200*M200,"输",0,"走水",L200,"取消",L200,"半赢",L200*(1+(M200-1)/2),"半输",L200*0.5,""))</x:f>
      </x:c>
      <x:c r="R200" s="18" t="str">
        <x:f>IF(Q200="","",Q200-L200)</x:f>
      </x:c>
      <x:c r="S200" s="20" t="str">
        <x:f>IF(OR(L200="",R200=""),"",R200/L200)</x:f>
      </x:c>
      <x:c r="T200" s="18" t="str">
        <x:f>IF(R200="","",'参数'!$B$3+SUM($R$3:R200))</x:f>
      </x:c>
      <x:c r="U200" s="16"/>
      <x:c r="V200" s="16"/>
      <x:c r="W200" s="16"/>
    </x:row>
    <x:row r="201" ht="22.5" customHeight="1">
      <x:c r="A201" s="16" t="str">
        <x:f>IF(C201="","",ROW()-2)</x:f>
      </x:c>
      <x:c r="B201" s="21"/>
      <x:c r="C201" s="16"/>
      <x:c r="D201" s="21"/>
      <x:c r="E201" s="16"/>
      <x:c r="F201" s="16"/>
      <x:c r="G201" s="16"/>
      <x:c r="H201" s="16"/>
      <x:c r="I201" s="16"/>
      <x:c r="J201" s="16"/>
      <x:c r="K201" s="18" t="str">
        <x:f>IF(L201="","",'参数'!$B$3+IF(ROW()=3,0,SUM($R$3:INDEX($R:$R,ROW()-1))))</x:f>
      </x:c>
      <x:c r="L201" s="18"/>
      <x:c r="M201" s="19"/>
      <x:c r="N201" s="20" t="str">
        <x:f>IF(OR(L201="",K201=""),"",L201/K201)</x:f>
      </x:c>
      <x:c r="O201" s="18" t="str">
        <x:f>IF(OR(L201="",M201=""),"",L201*M201)</x:f>
      </x:c>
      <x:c r="P201" s="18"/>
      <x:c r="Q201" s="18" t="str">
        <x:f>IF(OR(L201="",P201="",P201="未结算"),"",SWITCH(P201,"赢",L201*M201,"输",0,"走水",L201,"取消",L201,"半赢",L201*(1+(M201-1)/2),"半输",L201*0.5,""))</x:f>
      </x:c>
      <x:c r="R201" s="18" t="str">
        <x:f>IF(Q201="","",Q201-L201)</x:f>
      </x:c>
      <x:c r="S201" s="20" t="str">
        <x:f>IF(OR(L201="",R201=""),"",R201/L201)</x:f>
      </x:c>
      <x:c r="T201" s="18" t="str">
        <x:f>IF(R201="","",'参数'!$B$3+SUM($R$3:R201))</x:f>
      </x:c>
      <x:c r="U201" s="16"/>
      <x:c r="V201" s="16"/>
      <x:c r="W201" s="16"/>
    </x:row>
    <x:row r="202" ht="22.5" customHeight="1">
      <x:c r="A202" s="16" t="str">
        <x:f>IF(C202="","",ROW()-2)</x:f>
      </x:c>
      <x:c r="B202" s="21"/>
      <x:c r="C202" s="16"/>
      <x:c r="D202" s="21"/>
      <x:c r="E202" s="16"/>
      <x:c r="F202" s="16"/>
      <x:c r="G202" s="16"/>
      <x:c r="H202" s="16"/>
      <x:c r="I202" s="16"/>
      <x:c r="J202" s="16"/>
      <x:c r="K202" s="18" t="str">
        <x:f>IF(L202="","",'参数'!$B$3+IF(ROW()=3,0,SUM($R$3:INDEX($R:$R,ROW()-1))))</x:f>
      </x:c>
      <x:c r="L202" s="18"/>
      <x:c r="M202" s="19"/>
      <x:c r="N202" s="20" t="str">
        <x:f>IF(OR(L202="",K202=""),"",L202/K202)</x:f>
      </x:c>
      <x:c r="O202" s="18" t="str">
        <x:f>IF(OR(L202="",M202=""),"",L202*M202)</x:f>
      </x:c>
      <x:c r="P202" s="18"/>
      <x:c r="Q202" s="18" t="str">
        <x:f>IF(OR(L202="",P202="",P202="未结算"),"",SWITCH(P202,"赢",L202*M202,"输",0,"走水",L202,"取消",L202,"半赢",L202*(1+(M202-1)/2),"半输",L202*0.5,""))</x:f>
      </x:c>
      <x:c r="R202" s="18" t="str">
        <x:f>IF(Q202="","",Q202-L202)</x:f>
      </x:c>
      <x:c r="S202" s="20" t="str">
        <x:f>IF(OR(L202="",R202=""),"",R202/L202)</x:f>
      </x:c>
      <x:c r="T202" s="18" t="str">
        <x:f>IF(R202="","",'参数'!$B$3+SUM($R$3:R202))</x:f>
      </x:c>
      <x:c r="U202" s="16"/>
      <x:c r="V202" s="16"/>
      <x:c r="W202" s="16"/>
    </x:row>
    <x:row r="204">
      <x:c r="A204" s="23" t="str">
        <x:v>使用说明</x:v>
      </x:c>
      <x:c r="B204" s="24" t="str">
        <x:v>每一行只记录一笔投注；同一场比赛多个玩法拆成多行。</x:v>
      </x:c>
      <x:c r="C204" s="24" t="str"/>
      <x:c r="D204" s="24" t="str"/>
      <x:c r="E204" s="24" t="str"/>
      <x:c r="F204" s="24" t="str"/>
      <x:c r="G204" s="24" t="str"/>
      <x:c r="H204" s="24" t="str"/>
      <x:c r="I204" s="24" t="str"/>
      <x:c r="J204" s="24" t="str"/>
      <x:c r="K204" s="24" t="str"/>
      <x:c r="L204" s="24" t="str"/>
      <x:c r="M204" s="24" t="str"/>
      <x:c r="N204" s="24" t="str"/>
      <x:c r="O204" s="24" t="str"/>
      <x:c r="P204" s="24" t="str"/>
      <x:c r="Q204" s="24" t="str"/>
      <x:c r="R204" s="24" t="str"/>
      <x:c r="S204" s="24" t="str"/>
      <x:c r="T204" s="24" t="str"/>
      <x:c r="U204" s="24" t="str"/>
      <x:c r="V204" s="24" t="str"/>
      <x:c r="W204" s="24" t="str"/>
    </x:row>
    <x:row r="205">
      <x:c r="A205" s="23" t="str">
        <x:v>结算口径</x:v>
      </x:c>
      <x:c r="B205" s="24" t="str">
        <x:v>赢=金额*赔率；输=0；走水/取消=退回本金；半赢=本金+半额盈利；半输=退回半额本金。</x:v>
      </x:c>
      <x:c r="C205" s="24" t="str"/>
      <x:c r="D205" s="24" t="str"/>
      <x:c r="E205" s="24" t="str"/>
      <x:c r="F205" s="24" t="str"/>
      <x:c r="G205" s="24" t="str"/>
      <x:c r="H205" s="24" t="str"/>
      <x:c r="I205" s="24" t="str"/>
      <x:c r="J205" s="24" t="str"/>
      <x:c r="K205" s="24" t="str"/>
      <x:c r="L205" s="24" t="str"/>
      <x:c r="M205" s="24" t="str"/>
      <x:c r="N205" s="24" t="str"/>
      <x:c r="O205" s="24" t="str"/>
      <x:c r="P205" s="24" t="str"/>
      <x:c r="Q205" s="24" t="str"/>
      <x:c r="R205" s="24" t="str"/>
      <x:c r="S205" s="24" t="str"/>
      <x:c r="T205" s="24" t="str"/>
      <x:c r="U205" s="24" t="str"/>
      <x:c r="V205" s="24" t="str"/>
      <x:c r="W205" s="24" t="str"/>
    </x:row>
    <x:row r="206">
      <x:c r="A206" s="23" t="str">
        <x:v>纪律提醒</x:v>
      </x:c>
      <x:c r="B206" s="24" t="str">
        <x:v>黄色高亮表示投注金额超过参数页的单笔建议上限，复盘时优先检查是否冲动加仓。</x:v>
      </x:c>
      <x:c r="C206" s="24" t="str"/>
      <x:c r="D206" s="24" t="str"/>
      <x:c r="E206" s="24" t="str"/>
      <x:c r="F206" s="24" t="str"/>
      <x:c r="G206" s="24" t="str"/>
      <x:c r="H206" s="24" t="str"/>
      <x:c r="I206" s="24" t="str"/>
      <x:c r="J206" s="24" t="str"/>
      <x:c r="K206" s="24" t="str"/>
      <x:c r="L206" s="24" t="str"/>
      <x:c r="M206" s="24" t="str"/>
      <x:c r="N206" s="24" t="str"/>
      <x:c r="O206" s="24" t="str"/>
      <x:c r="P206" s="24" t="str"/>
      <x:c r="Q206" s="24" t="str"/>
      <x:c r="R206" s="24" t="str"/>
      <x:c r="S206" s="24" t="str"/>
      <x:c r="T206" s="24" t="str"/>
      <x:c r="U206" s="24" t="str"/>
      <x:c r="V206" s="24" t="str"/>
      <x:c r="W206" s="24" t="str"/>
    </x:row>
    <x:row r="207">
      <x:c r="A207" s="23" t="str">
        <x:v>字段规范</x:v>
      </x:c>
      <x:c r="B207" s="24" t="str">
        <x:v>场次分类、玩法、投注类型、结果、策略标签建议使用参数页固定词，后续才好按阶段和策略统计。</x:v>
      </x:c>
      <x:c r="C207" s="24" t="str"/>
      <x:c r="D207" s="24" t="str"/>
      <x:c r="E207" s="24" t="str"/>
      <x:c r="F207" s="24" t="str"/>
      <x:c r="G207" s="24" t="str"/>
      <x:c r="H207" s="24" t="str"/>
      <x:c r="I207" s="24" t="str"/>
      <x:c r="J207" s="24" t="str"/>
      <x:c r="K207" s="24" t="str"/>
      <x:c r="L207" s="24" t="str"/>
      <x:c r="M207" s="24" t="str"/>
      <x:c r="N207" s="24" t="str"/>
      <x:c r="O207" s="24" t="str"/>
      <x:c r="P207" s="24" t="str"/>
      <x:c r="Q207" s="24" t="str"/>
      <x:c r="R207" s="24" t="str"/>
      <x:c r="S207" s="24" t="str"/>
      <x:c r="T207" s="24" t="str"/>
      <x:c r="U207" s="24" t="str"/>
      <x:c r="V207" s="24" t="str"/>
      <x:c r="W207" s="24" t="str"/>
    </x:row>
    <x:row r="208">
      <x:c r="A208" s="23" t="str">
        <x:v>本金设置</x:v>
      </x:c>
      <x:c r="B208" s="24" t="str">
        <x:v>默认起始本金为1000元，可在参数页 B3 调整。</x:v>
      </x:c>
      <x:c r="C208" s="24" t="str"/>
      <x:c r="D208" s="24" t="str"/>
      <x:c r="E208" s="24" t="str"/>
      <x:c r="F208" s="24" t="str"/>
      <x:c r="G208" s="24" t="str"/>
      <x:c r="H208" s="24" t="str"/>
      <x:c r="I208" s="24" t="str"/>
      <x:c r="J208" s="24" t="str"/>
      <x:c r="K208" s="24" t="str"/>
      <x:c r="L208" s="24" t="str"/>
      <x:c r="M208" s="24" t="str"/>
      <x:c r="N208" s="24" t="str"/>
      <x:c r="O208" s="24" t="str"/>
      <x:c r="P208" s="24" t="str"/>
      <x:c r="Q208" s="24" t="str"/>
      <x:c r="R208" s="24" t="str"/>
      <x:c r="S208" s="24" t="str"/>
      <x:c r="T208" s="24" t="str"/>
      <x:c r="U208" s="24" t="str"/>
      <x:c r="V208" s="24" t="str"/>
      <x:c r="W208" s="24" t="str"/>
    </x:row>
  </x:sheetData>
  <x:mergeCells>
    <x:mergeCell ref="A1:W1"/>
    <x:mergeCell ref="B204:W204"/>
    <x:mergeCell ref="B205:W205"/>
    <x:mergeCell ref="B206:W206"/>
    <x:mergeCell ref="B207:W207"/>
    <x:mergeCell ref="B208:W208"/>
  </x:mergeCells>
  <x:conditionalFormatting sqref="R3:R202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L3:L202">
    <x:cfRule type="expression" dxfId="2" priority="3">
      <x:formula>AND($L3&lt;&gt;"",$L3&gt;'参数'!$B$4)</x:formula>
    </x:cfRule>
  </x:conditionalFormatting>
  <x:conditionalFormatting sqref="P3:P202">
    <x:cfRule type="expression" dxfId="3" priority="4">
      <x:formula>$P3="赢"</x:formula>
    </x:cfRule>
    <x:cfRule type="expression" dxfId="4" priority="5">
      <x:formula>$P3="输"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8.890000343322754" hidden="0" customWidth="1"/>
    <x:col min="3" max="3" width="43.33000183105469" hidden="0" customWidth="1"/>
    <x:col min="4" max="4" width="20" hidden="0" customWidth="1"/>
  </x:cols>
  <x:sheetData>
    <x:row r="1" ht="31.5" customHeight="1">
      <x:c r="A1" s="3" t="str">
        <x:v>字段说明</x:v>
      </x:c>
      <x:c r="B1" s="3" t="str">
        <x:v>字段说明</x:v>
      </x:c>
      <x:c r="C1" s="3" t="str">
        <x:v>字段说明</x:v>
      </x:c>
      <x:c r="D1" s="3" t="str">
        <x:v>字段说明</x:v>
      </x:c>
    </x:row>
    <x:row r="3" ht="25.5" customHeight="1">
      <x:c r="A3" s="17" t="str">
        <x:v>字段</x:v>
      </x:c>
      <x:c r="B3" s="17" t="str">
        <x:v>是否必填</x:v>
      </x:c>
      <x:c r="C3" s="17" t="str">
        <x:v>说明</x:v>
      </x:c>
      <x:c r="D3" s="17" t="str">
        <x:v>示例</x:v>
      </x:c>
    </x:row>
    <x:row r="4" ht="25.5" customHeight="1">
      <x:c r="A4" s="29" t="str">
        <x:v>id</x:v>
      </x:c>
      <x:c r="B4" s="16" t="str">
        <x:v>自动</x:v>
      </x:c>
      <x:c r="C4" s="16" t="str">
        <x:v>单笔投注编号，由明细行自动生成。</x:v>
      </x:c>
      <x:c r="D4" s="16" t="str">
        <x:v>1</x:v>
      </x:c>
    </x:row>
    <x:row r="5" ht="25.5" customHeight="1">
      <x:c r="A5" s="29" t="str">
        <x:v>投注日期</x:v>
      </x:c>
      <x:c r="B5" s="16" t="str">
        <x:v>建议填</x:v>
      </x:c>
      <x:c r="C5" s="16" t="str">
        <x:v>实际下注日期。</x:v>
      </x:c>
      <x:c r="D5" s="16" t="str">
        <x:v>2026-06-12</x:v>
      </x:c>
    </x:row>
    <x:row r="6" ht="25.5" customHeight="1">
      <x:c r="A6" s="29" t="str">
        <x:v>投注场次</x:v>
      </x:c>
      <x:c r="B6" s="16" t="str">
        <x:v>必填</x:v>
      </x:c>
      <x:c r="C6" s="16" t="str">
        <x:v>比赛或盘口名称；同场多单可重复。</x:v>
      </x:c>
      <x:c r="D6" s="16" t="str">
        <x:v>A组第1轮</x:v>
      </x:c>
    </x:row>
    <x:row r="7" ht="25.5" customHeight="1">
      <x:c r="A7" s="29" t="str">
        <x:v>比赛日期</x:v>
      </x:c>
      <x:c r="B7" s="16" t="str">
        <x:v>建议填</x:v>
      </x:c>
      <x:c r="C7" s="16" t="str">
        <x:v>比赛开赛日期。</x:v>
      </x:c>
      <x:c r="D7" s="16" t="str">
        <x:v>2026-06-13</x:v>
      </x:c>
    </x:row>
    <x:row r="8" ht="25.5" customHeight="1">
      <x:c r="A8" s="29" t="str">
        <x:v>场次分类</x:v>
      </x:c>
      <x:c r="B8" s="16" t="str">
        <x:v>必填</x:v>
      </x:c>
      <x:c r="C8" s="16" t="str">
        <x:v>小组赛、淘汰赛阶段等。</x:v>
      </x:c>
      <x:c r="D8" s="16" t="str">
        <x:v>小组赛</x:v>
      </x:c>
    </x:row>
    <x:row r="9" ht="25.5" customHeight="1">
      <x:c r="A9" s="29" t="str">
        <x:v>对阵</x:v>
      </x:c>
      <x:c r="B9" s="16" t="str">
        <x:v>必填</x:v>
      </x:c>
      <x:c r="C9" s="16" t="str">
        <x:v>双方球队。</x:v>
      </x:c>
      <x:c r="D9" s="16" t="str">
        <x:v>巴西 vs 德国</x:v>
      </x:c>
    </x:row>
    <x:row r="10" ht="25.5" customHeight="1">
      <x:c r="A10" s="29" t="str">
        <x:v>市场/玩法</x:v>
      </x:c>
      <x:c r="B10" s="16" t="str">
        <x:v>必填</x:v>
      </x:c>
      <x:c r="C10" s="16" t="str">
        <x:v>胜平负、亚洲让球、大小球等。</x:v>
      </x:c>
      <x:c r="D10" s="16" t="str">
        <x:v>大小球</x:v>
      </x:c>
    </x:row>
    <x:row r="11" ht="25.5" customHeight="1">
      <x:c r="A11" s="29" t="str">
        <x:v>投注类型</x:v>
      </x:c>
      <x:c r="B11" s="16" t="str">
        <x:v>必填</x:v>
      </x:c>
      <x:c r="C11" s="16" t="str">
        <x:v>区分下注发生场景：赛前、滚球、串关。</x:v>
      </x:c>
      <x:c r="D11" s="16" t="str">
        <x:v>滚球</x:v>
      </x:c>
    </x:row>
    <x:row r="12" ht="25.5" customHeight="1">
      <x:c r="A12" s="29" t="str">
        <x:v>投注内容</x:v>
      </x:c>
      <x:c r="B12" s="16" t="str">
        <x:v>必填</x:v>
      </x:c>
      <x:c r="C12" s="16" t="str">
        <x:v>具体方向。</x:v>
      </x:c>
      <x:c r="D12" s="16" t="str">
        <x:v>大2.5球</x:v>
      </x:c>
    </x:row>
    <x:row r="13" ht="25.5" customHeight="1">
      <x:c r="A13" s="29" t="str">
        <x:v>策略标签</x:v>
      </x:c>
      <x:c r="B13" s="16" t="str">
        <x:v>建议填</x:v>
      </x:c>
      <x:c r="C13" s="16" t="str">
        <x:v>用于复盘策略来源。</x:v>
      </x:c>
      <x:c r="D13" s="16" t="str">
        <x:v>阵容消息</x:v>
      </x:c>
    </x:row>
    <x:row r="14" ht="25.5" customHeight="1">
      <x:c r="A14" s="29" t="str">
        <x:v>投注前本金</x:v>
      </x:c>
      <x:c r="B14" s="16" t="str">
        <x:v>自动</x:v>
      </x:c>
      <x:c r="C14" s="16" t="str">
        <x:v>该笔下注前的滚动本金。</x:v>
      </x:c>
      <x:c r="D14" s="16" t="str">
        <x:v>1000</x:v>
      </x:c>
    </x:row>
    <x:row r="15" ht="25.5" customHeight="1">
      <x:c r="A15" s="29" t="str">
        <x:v>投注金额</x:v>
      </x:c>
      <x:c r="B15" s="16" t="str">
        <x:v>必填</x:v>
      </x:c>
      <x:c r="C15" s="16" t="str">
        <x:v>该笔投注本金。</x:v>
      </x:c>
      <x:c r="D15" s="16" t="str">
        <x:v>20</x:v>
      </x:c>
    </x:row>
    <x:row r="16" ht="25.5" customHeight="1">
      <x:c r="A16" s="29" t="str">
        <x:v>投注赔率</x:v>
      </x:c>
      <x:c r="B16" s="16" t="str">
        <x:v>必填</x:v>
      </x:c>
      <x:c r="C16" s="16" t="str">
        <x:v>十进制赔率。</x:v>
      </x:c>
      <x:c r="D16" s="16" t="str">
        <x:v>1.850</x:v>
      </x:c>
    </x:row>
    <x:row r="17" ht="25.5" customHeight="1">
      <x:c r="A17" s="29" t="str">
        <x:v>资金占比</x:v>
      </x:c>
      <x:c r="B17" s="16" t="str">
        <x:v>自动</x:v>
      </x:c>
      <x:c r="C17" s="16" t="str">
        <x:v>投注金额 / 投注前本金。</x:v>
      </x:c>
      <x:c r="D17" s="16" t="str">
        <x:v>2.00%</x:v>
      </x:c>
    </x:row>
    <x:row r="18" ht="25.5" customHeight="1">
      <x:c r="A18" s="29" t="str">
        <x:v>潜在返还</x:v>
      </x:c>
      <x:c r="B18" s="16" t="str">
        <x:v>自动</x:v>
      </x:c>
      <x:c r="C18" s="16" t="str">
        <x:v>投注金额 * 投注赔率。</x:v>
      </x:c>
      <x:c r="D18" s="16" t="str">
        <x:v>37</x:v>
      </x:c>
    </x:row>
    <x:row r="19" ht="25.5" customHeight="1">
      <x:c r="A19" s="29" t="str">
        <x:v>投注结果</x:v>
      </x:c>
      <x:c r="B19" s="16" t="str">
        <x:v>必填</x:v>
      </x:c>
      <x:c r="C19" s="16" t="str">
        <x:v>未结算、赢、输、走水、半赢、半输、取消。</x:v>
      </x:c>
      <x:c r="D19" s="16" t="str">
        <x:v>赢</x:v>
      </x:c>
    </x:row>
    <x:row r="20" ht="25.5" customHeight="1">
      <x:c r="A20" s="29" t="str">
        <x:v>结算金额</x:v>
      </x:c>
      <x:c r="B20" s="16" t="str">
        <x:v>自动</x:v>
      </x:c>
      <x:c r="C20" s="16" t="str">
        <x:v>按投注结果自动计算返还金额。</x:v>
      </x:c>
      <x:c r="D20" s="16" t="str">
        <x:v>37</x:v>
      </x:c>
    </x:row>
    <x:row r="21" ht="25.5" customHeight="1">
      <x:c r="A21" s="29" t="str">
        <x:v>投注收益</x:v>
      </x:c>
      <x:c r="B21" s="16" t="str">
        <x:v>自动</x:v>
      </x:c>
      <x:c r="C21" s="16" t="str">
        <x:v>结算金额 - 投注金额。</x:v>
      </x:c>
      <x:c r="D21" s="16" t="str">
        <x:v>17</x:v>
      </x:c>
    </x:row>
    <x:row r="22" ht="25.5" customHeight="1">
      <x:c r="A22" s="29" t="str">
        <x:v>ROI</x:v>
      </x:c>
      <x:c r="B22" s="16" t="str">
        <x:v>自动</x:v>
      </x:c>
      <x:c r="C22" s="16" t="str">
        <x:v>投注收益 / 投注金额。</x:v>
      </x:c>
      <x:c r="D22" s="16" t="str">
        <x:v>85.00%</x:v>
      </x:c>
    </x:row>
    <x:row r="23" ht="25.5" customHeight="1">
      <x:c r="A23" s="29" t="str">
        <x:v>滚动本金</x:v>
      </x:c>
      <x:c r="B23" s="16" t="str">
        <x:v>自动</x:v>
      </x:c>
      <x:c r="C23" s="16" t="str">
        <x:v>起始本金 + 累计已结算收益。</x:v>
      </x:c>
      <x:c r="D23" s="16" t="str">
        <x:v>1017</x:v>
      </x:c>
    </x:row>
    <x:row r="24" ht="25.5" customHeight="1">
      <x:c r="A24" s="29" t="str">
        <x:v>赛前依据</x:v>
      </x:c>
      <x:c r="B24" s="16" t="str">
        <x:v>建议填</x:v>
      </x:c>
      <x:c r="C24" s="16" t="str">
        <x:v>下注前的判断依据，越具体越能复盘。</x:v>
      </x:c>
      <x:c r="D24" s="16" t="str">
        <x:v>主力前锋复出，盘口升水</x:v>
      </x:c>
    </x:row>
    <x:row r="25" ht="25.5" customHeight="1">
      <x:c r="A25" s="29" t="str">
        <x:v>赛后复盘</x:v>
      </x:c>
      <x:c r="B25" s="16" t="str">
        <x:v>建议填</x:v>
      </x:c>
      <x:c r="C25" s="16" t="str">
        <x:v>赛后验证判断是否成立。</x:v>
      </x:c>
      <x:c r="D25" s="16" t="str">
        <x:v>节奏符合预期但射门质量偏低</x:v>
      </x:c>
    </x:row>
    <x:row r="26" ht="25.5" customHeight="1">
      <x:c r="A26" s="29" t="str">
        <x:v>备注</x:v>
      </x:c>
      <x:c r="B26" s="16" t="str">
        <x:v>选填</x:v>
      </x:c>
      <x:c r="C26" s="16" t="str">
        <x:v>临场信息、对冲、情绪状态等。</x:v>
      </x:c>
      <x:c r="D26" s="16" t="str">
        <x:v>临场追单，需复盘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6.670000076293945" hidden="0" customWidth="1"/>
    <x:col min="3" max="3" width="12.220000267028809" hidden="0" customWidth="1"/>
    <x:col min="4" max="4" width="14.4399995803833" hidden="0" customWidth="1"/>
    <x:col min="5" max="5" width="12.220000267028809" hidden="0" customWidth="1"/>
  </x:cols>
  <x:sheetData>
    <x:row r="1" ht="31.5" customHeight="1">
      <x:c r="A1" s="3" t="str">
        <x:v>资金与风控参数</x:v>
      </x:c>
      <x:c r="B1" s="3" t="str">
        <x:v>资金与风控参数</x:v>
      </x:c>
      <x:c r="C1" s="3" t="str">
        <x:v>资金与风控参数</x:v>
      </x:c>
      <x:c r="D1" s="3" t="str">
        <x:v>资金与风控参数</x:v>
      </x:c>
      <x:c r="E1" s="3" t="str">
        <x:v>资金与风控参数</x:v>
      </x:c>
    </x:row>
    <x:row r="3">
      <x:c r="A3" s="6" t="str">
        <x:v>起始本金</x:v>
      </x:c>
      <x:c r="B3" s="7" t="n">
        <x:v>1000</x:v>
      </x:c>
    </x:row>
    <x:row r="4">
      <x:c r="A4" s="6" t="str">
        <x:v>单笔建议上限</x:v>
      </x:c>
      <x:c r="B4" s="7" t="n">
        <x:v>50</x:v>
      </x:c>
    </x:row>
    <x:row r="5">
      <x:c r="A5" s="6" t="str">
        <x:v>单笔常规单位</x:v>
      </x:c>
      <x:c r="B5" s="7" t="n">
        <x:v>20</x:v>
      </x:c>
    </x:row>
    <x:row r="6">
      <x:c r="A6" s="6" t="str">
        <x:v>高信号单位</x:v>
      </x:c>
      <x:c r="B6" s="7" t="n">
        <x:v>30</x:v>
      </x:c>
    </x:row>
    <x:row r="7">
      <x:c r="A7" s="6" t="str">
        <x:v>最大连续亏损警戒</x:v>
      </x:c>
      <x:c r="B7" s="8" t="n">
        <x:v>3</x:v>
      </x:c>
    </x:row>
    <x:row r="8">
      <x:c r="A8" s="6" t="str">
        <x:v>备注</x:v>
      </x:c>
      <x:c r="B8" s="5" t="str">
        <x:v>参数可手动调整，明细表公式会引用起始本金。</x:v>
      </x:c>
    </x:row>
    <x:row r="10">
      <x:c r="A10" s="9" t="str">
        <x:v>选项清单：建议保持这些固定词，便于后续透视统计。</x:v>
      </x:c>
      <x:c r="B10" s="9" t="str">
        <x:v>选项清单：建议保持这些固定词，便于后续透视统计。</x:v>
      </x:c>
      <x:c r="C10" s="9" t="str">
        <x:v>选项清单：建议保持这些固定词，便于后续透视统计。</x:v>
      </x:c>
      <x:c r="D10" s="9" t="str">
        <x:v>选项清单：建议保持这些固定词，便于后续透视统计。</x:v>
      </x:c>
      <x:c r="E10" s="9" t="str">
        <x:v>选项清单：建议保持这些固定词，便于后续透视统计。</x:v>
      </x:c>
    </x:row>
    <x:row r="11" ht="25.5" customHeight="1">
      <x:c r="A11" s="13" t="str">
        <x:v>场次分类</x:v>
      </x:c>
      <x:c r="B11" s="13" t="str">
        <x:v>市场/玩法</x:v>
      </x:c>
      <x:c r="C11" s="13" t="str">
        <x:v>投注结果</x:v>
      </x:c>
      <x:c r="D11" s="13" t="str">
        <x:v>策略标签</x:v>
      </x:c>
      <x:c r="E11" s="13" t="str">
        <x:v>投注类型</x:v>
      </x:c>
    </x:row>
    <x:row r="12">
      <x:c r="A12" s="15" t="str">
        <x:v>小组赛</x:v>
      </x:c>
      <x:c r="B12" s="15" t="str">
        <x:v>胜平负</x:v>
      </x:c>
      <x:c r="C12" s="15" t="str">
        <x:v>未结算</x:v>
      </x:c>
      <x:c r="D12" s="15" t="str">
        <x:v>赛前模型</x:v>
      </x:c>
      <x:c r="E12" s="15" t="str">
        <x:v>赛前</x:v>
      </x:c>
    </x:row>
    <x:row r="13">
      <x:c r="A13" s="15" t="str">
        <x:v>1/8决赛</x:v>
      </x:c>
      <x:c r="B13" s="15" t="str">
        <x:v>让球胜平负</x:v>
      </x:c>
      <x:c r="C13" s="15" t="str">
        <x:v>赢</x:v>
      </x:c>
      <x:c r="D13" s="15" t="str">
        <x:v>盘口异动</x:v>
      </x:c>
      <x:c r="E13" s="15" t="str">
        <x:v>滚球</x:v>
      </x:c>
    </x:row>
    <x:row r="14">
      <x:c r="A14" s="15" t="str">
        <x:v>1/4决赛</x:v>
      </x:c>
      <x:c r="B14" s="15" t="str">
        <x:v>亚洲让球</x:v>
      </x:c>
      <x:c r="C14" s="15" t="str">
        <x:v>输</x:v>
      </x:c>
      <x:c r="D14" s="15" t="str">
        <x:v>阵容消息</x:v>
      </x:c>
      <x:c r="E14" s="15" t="str">
        <x:v>串关</x:v>
      </x:c>
    </x:row>
    <x:row r="15">
      <x:c r="A15" s="15" t="str">
        <x:v>半决赛</x:v>
      </x:c>
      <x:c r="B15" s="15" t="str">
        <x:v>大小球</x:v>
      </x:c>
      <x:c r="C15" s="15" t="str">
        <x:v>走水</x:v>
      </x:c>
      <x:c r="D15" s="15" t="str">
        <x:v>体能赛程</x:v>
      </x:c>
      <x:c r="E15" s="15" t="str"/>
    </x:row>
    <x:row r="16">
      <x:c r="A16" s="15" t="str">
        <x:v>季军赛</x:v>
      </x:c>
      <x:c r="B16" s="15" t="str">
        <x:v>角球</x:v>
      </x:c>
      <x:c r="C16" s="15" t="str">
        <x:v>半赢</x:v>
      </x:c>
      <x:c r="D16" s="15" t="str">
        <x:v>对冲</x:v>
      </x:c>
      <x:c r="E16" s="15" t="str"/>
    </x:row>
    <x:row r="17">
      <x:c r="A17" s="15" t="str">
        <x:v>决赛</x:v>
      </x:c>
      <x:c r="B17" s="15" t="str">
        <x:v>比分</x:v>
      </x:c>
      <x:c r="C17" s="15" t="str">
        <x:v>半输</x:v>
      </x:c>
      <x:c r="D17" s="15" t="str">
        <x:v>价值投注</x:v>
      </x:c>
      <x:c r="E17" s="15" t="str"/>
    </x:row>
    <x:row r="18">
      <x:c r="A18" s="15" t="str">
        <x:v>其他</x:v>
      </x:c>
      <x:c r="B18" s="15" t="str">
        <x:v>半全场</x:v>
      </x:c>
      <x:c r="C18" s="15" t="str">
        <x:v>取消</x:v>
      </x:c>
      <x:c r="D18" s="15" t="str">
        <x:v>情绪修正</x:v>
      </x:c>
      <x:c r="E18" s="15" t="str"/>
    </x:row>
    <x:row r="19">
      <x:c r="A19" s="15" t="str"/>
      <x:c r="B19" s="15" t="str">
        <x:v>球员进球</x:v>
      </x:c>
      <x:c r="C19" s="15" t="str"/>
      <x:c r="D19" s="15" t="str">
        <x:v>其他</x:v>
      </x:c>
      <x:c r="E19" s="15" t="str"/>
    </x:row>
    <x:row r="20">
      <x:c r="A20" s="15" t="str"/>
      <x:c r="B20" s="15" t="str">
        <x:v>冠军/晋级</x:v>
      </x:c>
      <x:c r="C20" s="15" t="str"/>
      <x:c r="D20" s="15" t="str"/>
      <x:c r="E20" s="15" t="str"/>
    </x:row>
    <x:row r="21">
      <x:c r="A21" s="15" t="str"/>
      <x:c r="B21" s="15" t="str">
        <x:v>其他</x:v>
      </x:c>
      <x:c r="C21" s="15" t="str"/>
      <x:c r="D21" s="15" t="str"/>
      <x:c r="E21" s="15" t="str"/>
    </x:row>
  </x:sheetData>
  <x:mergeCells>
    <x:mergeCell ref="A1:E1"/>
    <x:mergeCell ref="A10:E10"/>
  </x:mergeCells>
  <x:pageMargins left="0.7" right="0.7" top="0.75" bottom="0.75" header="0.3" footer="0.3"/>
</x:worksheet>
</file>