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13e23f2579e4f8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参数" sheetId="1" r:id="Rba1bce5148b548d4"/>
    <x:sheet xmlns:r="http://schemas.openxmlformats.org/officeDocument/2006/relationships" name="投注明细" sheetId="2" r:id="R2825d4f214754bf7"/>
    <x:sheet xmlns:r="http://schemas.openxmlformats.org/officeDocument/2006/relationships" name="策略统计" sheetId="3" r:id="R60c687e2c96a475b"/>
    <x:sheet xmlns:r="http://schemas.openxmlformats.org/officeDocument/2006/relationships" name="字段说明" sheetId="4" r:id="Rb4762d009552452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&quot;¥&quot;#,##0.00;[Red]-&quot;¥&quot;#,##0.00;&quot;¥&quot;0.00"/>
    <x:numFmt numFmtId="201" formatCode="0.00%;[Red]-0.00%;0.00%"/>
    <x:numFmt numFmtId="202" formatCode="yyyy-mm-dd hh:mm"/>
    <x:numFmt numFmtId="203" formatCode="0.000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7324D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AF3F8"/>
      </x:patternFill>
    </x:fill>
    <x:fill>
      <x:patternFill patternType="solid">
        <x:fgColor rgb="FF0F766E"/>
      </x:patternFill>
    </x:fill>
    <x:fill>
      <x:patternFill patternType="solid">
        <x:fgColor rgb="FFFFFFFF"/>
      </x:patternFill>
    </x:fill>
  </x:fills>
  <x:borders count="2">
    <x:border/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</x:borders>
  <x:cellStyleXfs count="1">
    <x:xf numFmtId="0" fontId="0" fillId="0" borderId="0"/>
  </x:cellStyleXfs>
  <x:cellXfs count="2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200" fontId="0" fillId="3" borderId="1" xfId="0" applyNumberFormat="1" applyFont="1" applyFill="1" applyBorder="1"/>
    <x:xf numFmtId="201" fontId="0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wrapText="1"/>
    </x:xf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0" fillId="5" borderId="1" xfId="0" applyNumberFormat="1" applyFont="1" applyFill="1" applyBorder="1" applyAlignment="1">
      <x:alignment wrapText="1"/>
    </x:xf>
    <x:xf numFmtId="202" fontId="0" fillId="5" borderId="1" xfId="0" applyNumberFormat="1" applyFont="1" applyFill="1" applyBorder="1" applyAlignment="1">
      <x:alignment wrapText="1"/>
    </x:xf>
    <x:xf numFmtId="200" fontId="0" fillId="5" borderId="1" xfId="0" applyNumberFormat="1" applyFont="1" applyFill="1" applyBorder="1" applyAlignment="1">
      <x:alignment wrapText="1"/>
    </x:xf>
    <x:xf numFmtId="203" fontId="0" fillId="5" borderId="1" xfId="0" applyNumberFormat="1" applyFont="1" applyFill="1" applyBorder="1" applyAlignment="1">
      <x:alignment wrapText="1"/>
    </x:xf>
    <x:xf numFmtId="201" fontId="0" fillId="5" borderId="1" xfId="0" applyNumberFormat="1" applyFont="1" applyFill="1" applyBorder="1" applyAlignment="1">
      <x:alignment wrapText="1"/>
    </x:xf>
    <x:xf numFmtId="200" fontId="0" fillId="5" borderId="1" xfId="0" applyNumberFormat="1" applyFont="1" applyFill="1" applyBorder="1"/>
    <x:xf numFmtId="201" fontId="0" fillId="5" borderId="1" xfId="0" applyNumberFormat="1" applyFont="1" applyFill="1" applyBorder="1"/>
  </x:cellXfs>
  <x:cellStyles count="1">
    <x:cellStyle name="Normal" xfId="0"/>
  </x:cellStyles>
  <x:dxfs count="2">
    <x:dxf>
      <x:font>
        <x:b/>
        <x:color rgb="FF15803D"/>
      </x:font>
      <x:fill>
        <x:patternFill patternType="solid">
          <x:bgColor rgb="FFEAF7EE"/>
        </x:patternFill>
      </x:fill>
    </x:dxf>
    <x:dxf>
      <x:font>
        <x:b/>
        <x:color rgb="FFB91C1C"/>
      </x:font>
      <x:fill>
        <x:patternFill patternType="solid">
          <x:bgColor rgb="FFFDECE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73589a18a134f55" /><Relationship Type="http://schemas.openxmlformats.org/officeDocument/2006/relationships/theme" Target="/xl/theme/theme1.xml" Id="R4654a7f29168490d" /><Relationship Type="http://schemas.openxmlformats.org/officeDocument/2006/relationships/sharedStrings" Target="/xl/sharedStrings.xml" Id="R48520dc2aeaa4c97" /><Relationship Type="http://schemas.openxmlformats.org/officeDocument/2006/relationships/worksheet" Target="/xl/worksheets/sheet1.xml" Id="Rba1bce5148b548d4" /><Relationship Type="http://schemas.openxmlformats.org/officeDocument/2006/relationships/worksheet" Target="/xl/worksheets/sheet2.xml" Id="R2825d4f214754bf7" /><Relationship Type="http://schemas.openxmlformats.org/officeDocument/2006/relationships/worksheet" Target="/xl/worksheets/sheet3.xml" Id="R60c687e2c96a475b" /><Relationship Type="http://schemas.openxmlformats.org/officeDocument/2006/relationships/worksheet" Target="/xl/worksheets/sheet4.xml" Id="Rb4762d009552452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.670000076293945" hidden="0" customWidth="1"/>
    <x:col min="2" max="2" width="12.220000267028809" hidden="0" customWidth="1"/>
    <x:col min="4" max="4" width="18.889999389648438" hidden="0" customWidth="1"/>
    <x:col min="5" max="5" width="10" hidden="0" customWidth="1"/>
    <x:col min="6" max="6" width="10" hidden="0" customWidth="1"/>
    <x:col min="7" max="7" width="10" hidden="0" customWidth="1"/>
    <x:col min="8" max="8" width="11.109999656677246" hidden="0" customWidth="1"/>
  </x:cols>
  <x:sheetData>
    <x:row r="1" ht="30" customHeight="1">
      <x:c r="A1" s="3" t="str">
        <x:v>资金与选项参数</x:v>
      </x:c>
      <x:c r="B1" s="3" t="str">
        <x:v>资金与选项参数</x:v>
      </x:c>
      <x:c r="C1" s="3" t="str">
        <x:v>资金与选项参数</x:v>
      </x:c>
      <x:c r="D1" s="3" t="str">
        <x:v>资金与选项参数</x:v>
      </x:c>
      <x:c r="E1" s="3" t="str">
        <x:v>资金与选项参数</x:v>
      </x:c>
    </x:row>
    <x:row r="3" ht="25.5" customHeight="1">
      <x:c r="A3" s="6" t="str">
        <x:v>起始本金</x:v>
      </x:c>
      <x:c r="B3" s="7" t="n">
        <x:v>1000</x:v>
      </x:c>
      <x:c r="D3" s="12" t="str">
        <x:v>策略标签</x:v>
      </x:c>
      <x:c r="E3" s="12" t="str">
        <x:v>场景</x:v>
      </x:c>
      <x:c r="F3" s="12" t="str">
        <x:v>投注类型</x:v>
      </x:c>
      <x:c r="G3" s="12" t="str">
        <x:v>投注结果</x:v>
      </x:c>
      <x:c r="H3" s="12" t="str">
        <x:v>建议动作</x:v>
      </x:c>
    </x:row>
    <x:row r="4">
      <x:c r="A4" s="6" t="str">
        <x:v>推荐默认仓位%</x:v>
      </x:c>
      <x:c r="B4" s="8" t="n">
        <x:v>0.03</x:v>
      </x:c>
      <x:c r="D4" s="14" t="str">
        <x:v>S01-稳健主仓</x:v>
      </x:c>
      <x:c r="E4" s="14" t="str">
        <x:v>赛前</x:v>
      </x:c>
      <x:c r="F4" s="14" t="str">
        <x:v>赛前</x:v>
      </x:c>
      <x:c r="G4" s="14" t="str">
        <x:v>未结算</x:v>
      </x:c>
      <x:c r="H4" s="14" t="str">
        <x:v>建议执行</x:v>
      </x:c>
    </x:row>
    <x:row r="5">
      <x:c r="A5" s="6" t="str">
        <x:v>推荐单场上限%</x:v>
      </x:c>
      <x:c r="B5" s="8" t="n">
        <x:v>0.1</x:v>
      </x:c>
      <x:c r="D5" s="14" t="str">
        <x:v>S02-反热门受让小球</x:v>
      </x:c>
      <x:c r="E5" s="14" t="str">
        <x:v>滚球</x:v>
      </x:c>
      <x:c r="F5" s="14" t="str">
        <x:v>滚球</x:v>
      </x:c>
      <x:c r="G5" s="14" t="str">
        <x:v>赢</x:v>
      </x:c>
      <x:c r="H5" s="14" t="str">
        <x:v>观望</x:v>
      </x:c>
    </x:row>
    <x:row r="6">
      <x:c r="A6" s="6" t="str">
        <x:v>滚球单场上限%</x:v>
      </x:c>
      <x:c r="B6" s="8" t="n">
        <x:v>0.05</x:v>
      </x:c>
      <x:c r="D6" s="14" t="str">
        <x:v>S03-滚球纠偏</x:v>
      </x:c>
      <x:c r="E6" s="14" t="str">
        <x:v>赛后</x:v>
      </x:c>
      <x:c r="F6" s="14" t="str">
        <x:v>串关</x:v>
      </x:c>
      <x:c r="G6" s="14" t="str">
        <x:v>输</x:v>
      </x:c>
      <x:c r="H6" s="14" t="str">
        <x:v>不下注</x:v>
      </x:c>
    </x:row>
    <x:row r="7">
      <x:c r="A7" s="6" t="str">
        <x:v>彩票仓单场上限%</x:v>
      </x:c>
      <x:c r="B7" s="8" t="n">
        <x:v>0.03</x:v>
      </x:c>
      <x:c r="D7" s="14" t="str">
        <x:v>S04-小仓高赔</x:v>
      </x:c>
      <x:c r="E7" s="14" t="str">
        <x:v>复盘</x:v>
      </x:c>
      <x:c r="F7" s="14" t="str"/>
      <x:c r="G7" s="14" t="str">
        <x:v>走水</x:v>
      </x:c>
      <x:c r="H7" s="14" t="str">
        <x:v>对冲</x:v>
      </x:c>
    </x:row>
    <x:row r="8">
      <x:c r="A8" s="6" t="str">
        <x:v>高信心仓位%</x:v>
      </x:c>
      <x:c r="B8" s="8" t="n">
        <x:v>0.08</x:v>
      </x:c>
      <x:c r="D8" s="14" t="str">
        <x:v>纪律问题-追单</x:v>
      </x:c>
      <x:c r="E8" s="14" t="str"/>
      <x:c r="F8" s="14" t="str"/>
      <x:c r="G8" s="14" t="str">
        <x:v>半赢</x:v>
      </x:c>
      <x:c r="H8" s="14" t="str">
        <x:v>止盈</x:v>
      </x:c>
    </x:row>
    <x:row r="9">
      <x:c r="A9" s="6" t="str">
        <x:v>中信心仓位%</x:v>
      </x:c>
      <x:c r="B9" s="8" t="n">
        <x:v>0.05</x:v>
      </x:c>
      <x:c r="D9" s="14" t="str">
        <x:v>未知策略</x:v>
      </x:c>
      <x:c r="E9" s="14" t="str"/>
      <x:c r="F9" s="14" t="str"/>
      <x:c r="G9" s="14" t="str">
        <x:v>半输</x:v>
      </x:c>
      <x:c r="H9" s="14" t="str"/>
    </x:row>
    <x:row r="10">
      <x:c r="A10" s="6" t="str">
        <x:v>低信心仓位%</x:v>
      </x:c>
      <x:c r="B10" s="8" t="n">
        <x:v>0.02</x:v>
      </x:c>
      <x:c r="D10" s="14" t="str"/>
      <x:c r="E10" s="14" t="str"/>
      <x:c r="F10" s="14" t="str"/>
      <x:c r="G10" s="14" t="str">
        <x:v>取消</x:v>
      </x:c>
      <x:c r="H10" s="14" t="str"/>
    </x:row>
    <x:row r="11">
      <x:c r="D11" s="14" t="str"/>
      <x:c r="E11" s="14" t="str"/>
      <x:c r="F11" s="14" t="str"/>
      <x:c r="G11" s="14" t="str"/>
      <x:c r="H11" s="14" t="str"/>
    </x:row>
    <x:row r="12">
      <x:c r="D12" s="14" t="str"/>
      <x:c r="E12" s="14" t="str"/>
      <x:c r="F12" s="14" t="str"/>
      <x:c r="G12" s="14" t="str"/>
      <x:c r="H12" s="14" t="str"/>
    </x:row>
  </x:sheetData>
  <x:mergeCells>
    <x:mergeCell ref="A1:E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15.5600004196167" hidden="0" customWidth="1"/>
    <x:col min="3" max="3" width="8.890000343322754" hidden="0" customWidth="1"/>
    <x:col min="4" max="4" width="16.670000076293945" hidden="0" customWidth="1"/>
    <x:col min="5" max="5" width="15.5600004196167" hidden="0" customWidth="1"/>
    <x:col min="6" max="6" width="10" hidden="0" customWidth="1"/>
    <x:col min="7" max="7" width="17.780000686645508" hidden="0" customWidth="1"/>
    <x:col min="8" max="8" width="11.109999656677246" hidden="0" customWidth="1"/>
    <x:col min="9" max="9" width="10" hidden="0" customWidth="1"/>
    <x:col min="10" max="10" width="20" hidden="0" customWidth="1"/>
    <x:col min="11" max="11" width="18.889999389648438" hidden="0" customWidth="1"/>
    <x:col min="12" max="12" width="10.5600004196167" hidden="0" customWidth="1"/>
    <x:col min="13" max="13" width="10.5600004196167" hidden="0" customWidth="1"/>
    <x:col min="14" max="14" width="8.890000343322754" hidden="0" customWidth="1"/>
    <x:col min="15" max="15" width="8.890000343322754" hidden="0" customWidth="1"/>
    <x:col min="16" max="16" width="10.5600004196167" hidden="0" customWidth="1"/>
    <x:col min="17" max="17" width="10" hidden="0" customWidth="1"/>
    <x:col min="18" max="18" width="10.5600004196167" hidden="0" customWidth="1"/>
    <x:col min="19" max="19" width="10.5600004196167" hidden="0" customWidth="1"/>
    <x:col min="20" max="20" width="8.890000343322754" hidden="0" customWidth="1"/>
    <x:col min="21" max="21" width="10.5600004196167" hidden="0" customWidth="1"/>
    <x:col min="22" max="22" width="26.670000076293945" hidden="0" customWidth="1"/>
    <x:col min="23" max="23" width="26.670000076293945" hidden="0" customWidth="1"/>
    <x:col min="24" max="24" width="24.440000534057617" hidden="0" customWidth="1"/>
  </x:cols>
  <x:sheetData>
    <x:row r="1" ht="30" customHeight="1">
      <x:c r="A1" s="3" t="str">
        <x:v>足球复盘表</x:v>
      </x:c>
      <x:c r="B1" s="3" t="str">
        <x:v>足球复盘表</x:v>
      </x:c>
      <x:c r="C1" s="3" t="str">
        <x:v>足球复盘表</x:v>
      </x:c>
      <x:c r="D1" s="3" t="str">
        <x:v>足球复盘表</x:v>
      </x:c>
      <x:c r="E1" s="3" t="str">
        <x:v>足球复盘表</x:v>
      </x:c>
      <x:c r="F1" s="3" t="str">
        <x:v>足球复盘表</x:v>
      </x:c>
      <x:c r="G1" s="3" t="str">
        <x:v>足球复盘表</x:v>
      </x:c>
      <x:c r="H1" s="3" t="str">
        <x:v>足球复盘表</x:v>
      </x:c>
      <x:c r="I1" s="3" t="str">
        <x:v>足球复盘表</x:v>
      </x:c>
      <x:c r="J1" s="3" t="str">
        <x:v>足球复盘表</x:v>
      </x:c>
      <x:c r="K1" s="3" t="str">
        <x:v>足球复盘表</x:v>
      </x:c>
      <x:c r="L1" s="3" t="str">
        <x:v>足球复盘表</x:v>
      </x:c>
      <x:c r="M1" s="3" t="str">
        <x:v>足球复盘表</x:v>
      </x:c>
      <x:c r="N1" s="3" t="str">
        <x:v>足球复盘表</x:v>
      </x:c>
      <x:c r="O1" s="3" t="str">
        <x:v>足球复盘表</x:v>
      </x:c>
      <x:c r="P1" s="3" t="str">
        <x:v>足球复盘表</x:v>
      </x:c>
      <x:c r="Q1" s="3" t="str">
        <x:v>足球复盘表</x:v>
      </x:c>
      <x:c r="R1" s="3" t="str">
        <x:v>足球复盘表</x:v>
      </x:c>
      <x:c r="S1" s="3" t="str">
        <x:v>足球复盘表</x:v>
      </x:c>
      <x:c r="T1" s="3" t="str">
        <x:v>足球复盘表</x:v>
      </x:c>
      <x:c r="U1" s="3" t="str">
        <x:v>足球复盘表</x:v>
      </x:c>
      <x:c r="V1" s="3" t="str">
        <x:v>足球复盘表</x:v>
      </x:c>
      <x:c r="W1" s="3" t="str">
        <x:v>足球复盘表</x:v>
      </x:c>
      <x:c r="X1" s="3" t="str">
        <x:v>足球复盘表</x:v>
      </x:c>
    </x:row>
    <x:row r="2" ht="25.5" customHeight="1">
      <x:c r="A2" s="12" t="str">
        <x:v>id</x:v>
      </x:c>
      <x:c r="B2" s="12" t="str">
        <x:v>投注日期</x:v>
      </x:c>
      <x:c r="C2" s="12" t="str">
        <x:v>推荐ID</x:v>
      </x:c>
      <x:c r="D2" s="12" t="str">
        <x:v>比赛</x:v>
      </x:c>
      <x:c r="E2" s="12" t="str">
        <x:v>比赛日期</x:v>
      </x:c>
      <x:c r="F2" s="12" t="str">
        <x:v>阶段</x:v>
      </x:c>
      <x:c r="G2" s="12" t="str">
        <x:v>对阵</x:v>
      </x:c>
      <x:c r="H2" s="12" t="str">
        <x:v>市场/玩法</x:v>
      </x:c>
      <x:c r="I2" s="12" t="str">
        <x:v>投注类型</x:v>
      </x:c>
      <x:c r="J2" s="12" t="str">
        <x:v>投注内容</x:v>
      </x:c>
      <x:c r="K2" s="12" t="str">
        <x:v>策略标签</x:v>
      </x:c>
      <x:c r="L2" s="12" t="str">
        <x:v>投注前本金</x:v>
      </x:c>
      <x:c r="M2" s="12" t="str">
        <x:v>投注金额</x:v>
      </x:c>
      <x:c r="N2" s="12" t="str">
        <x:v>投注赔率</x:v>
      </x:c>
      <x:c r="O2" s="12" t="str">
        <x:v>资金占比</x:v>
      </x:c>
      <x:c r="P2" s="12" t="str">
        <x:v>潜在返还</x:v>
      </x:c>
      <x:c r="Q2" s="12" t="str">
        <x:v>投注结果</x:v>
      </x:c>
      <x:c r="R2" s="12" t="str">
        <x:v>结算金额</x:v>
      </x:c>
      <x:c r="S2" s="12" t="str">
        <x:v>投注收益</x:v>
      </x:c>
      <x:c r="T2" s="12" t="str">
        <x:v>ROI</x:v>
      </x:c>
      <x:c r="U2" s="12" t="str">
        <x:v>滚动本金</x:v>
      </x:c>
      <x:c r="V2" s="12" t="str">
        <x:v>赛前依据</x:v>
      </x:c>
      <x:c r="W2" s="12" t="str">
        <x:v>赛后复盘</x:v>
      </x:c>
      <x:c r="X2" s="12" t="str">
        <x:v>备注</x:v>
      </x:c>
    </x:row>
    <x:row r="3" ht="25.5" customHeight="1">
      <x:c r="A3" s="15" t="str">
        <x:f>IF(D3="","",ROW()-2)</x:f>
      </x:c>
      <x:c r="B3" s="16"/>
      <x:c r="C3" s="15"/>
      <x:c r="D3" s="15"/>
      <x:c r="E3" s="16"/>
      <x:c r="F3" s="15"/>
      <x:c r="G3" s="15"/>
      <x:c r="H3" s="15"/>
      <x:c r="I3" s="15"/>
      <x:c r="J3" s="15"/>
      <x:c r="K3" s="15"/>
      <x:c r="L3" s="17" t="str">
        <x:f>IF(M3="","",'参数'!$B$3+IF(ROW()=3,0,SUM($S$3:INDEX($S:$S,ROW()-1))))</x:f>
      </x:c>
      <x:c r="M3" s="17"/>
      <x:c r="N3" s="18"/>
      <x:c r="O3" s="19" t="str">
        <x:f>IF(OR(M3="",L3=""),"",M3/L3)</x:f>
      </x:c>
      <x:c r="P3" s="17" t="str">
        <x:f>IF(OR(M3="",N3=""),"",M3*N3)</x:f>
      </x:c>
      <x:c r="Q3" s="17"/>
      <x:c r="R3" s="17" t="str">
        <x:f>IF(OR(M3="",Q3="",Q3="未结算"),"",SWITCH(Q3,"赢",M3*N3,"输",0,"走水",M3,"取消",M3,"半赢",M3*(1+(N3-1)/2),"半输",M3*0.5,""))</x:f>
      </x:c>
      <x:c r="S3" s="17" t="str">
        <x:f>IF(R3="","",R3-M3)</x:f>
      </x:c>
      <x:c r="T3" s="19" t="str">
        <x:f>IF(OR(M3="",S3=""),"",S3/M3)</x:f>
      </x:c>
      <x:c r="U3" s="17" t="str">
        <x:f>IF(S3="","",'参数'!$B$3+SUM($S$3:S3))</x:f>
      </x:c>
      <x:c r="V3" s="15"/>
      <x:c r="W3" s="15"/>
      <x:c r="X3" s="15"/>
    </x:row>
    <x:row r="4" ht="25.5" customHeight="1">
      <x:c r="A4" s="15" t="str">
        <x:f>IF(D4="","",ROW()-2)</x:f>
      </x:c>
      <x:c r="B4" s="16"/>
      <x:c r="C4" s="15"/>
      <x:c r="D4" s="15"/>
      <x:c r="E4" s="16"/>
      <x:c r="F4" s="15"/>
      <x:c r="G4" s="15"/>
      <x:c r="H4" s="15"/>
      <x:c r="I4" s="15"/>
      <x:c r="J4" s="15"/>
      <x:c r="K4" s="15"/>
      <x:c r="L4" s="17" t="str">
        <x:f>IF(M4="","",'参数'!$B$3+IF(ROW()=3,0,SUM($S$3:INDEX($S:$S,ROW()-1))))</x:f>
      </x:c>
      <x:c r="M4" s="17"/>
      <x:c r="N4" s="18"/>
      <x:c r="O4" s="19" t="str">
        <x:f>IF(OR(M4="",L4=""),"",M4/L4)</x:f>
      </x:c>
      <x:c r="P4" s="17" t="str">
        <x:f>IF(OR(M4="",N4=""),"",M4*N4)</x:f>
      </x:c>
      <x:c r="Q4" s="17"/>
      <x:c r="R4" s="17" t="str">
        <x:f>IF(OR(M4="",Q4="",Q4="未结算"),"",SWITCH(Q4,"赢",M4*N4,"输",0,"走水",M4,"取消",M4,"半赢",M4*(1+(N4-1)/2),"半输",M4*0.5,""))</x:f>
      </x:c>
      <x:c r="S4" s="17" t="str">
        <x:f>IF(R4="","",R4-M4)</x:f>
      </x:c>
      <x:c r="T4" s="19" t="str">
        <x:f>IF(OR(M4="",S4=""),"",S4/M4)</x:f>
      </x:c>
      <x:c r="U4" s="17" t="str">
        <x:f>IF(S4="","",'参数'!$B$3+SUM($S$3:S4))</x:f>
      </x:c>
      <x:c r="V4" s="15"/>
      <x:c r="W4" s="15"/>
      <x:c r="X4" s="15"/>
    </x:row>
    <x:row r="5" ht="25.5" customHeight="1">
      <x:c r="A5" s="15" t="str">
        <x:f>IF(D5="","",ROW()-2)</x:f>
      </x:c>
      <x:c r="B5" s="16"/>
      <x:c r="C5" s="15"/>
      <x:c r="D5" s="15"/>
      <x:c r="E5" s="16"/>
      <x:c r="F5" s="15"/>
      <x:c r="G5" s="15"/>
      <x:c r="H5" s="15"/>
      <x:c r="I5" s="15"/>
      <x:c r="J5" s="15"/>
      <x:c r="K5" s="15"/>
      <x:c r="L5" s="17" t="str">
        <x:f>IF(M5="","",'参数'!$B$3+IF(ROW()=3,0,SUM($S$3:INDEX($S:$S,ROW()-1))))</x:f>
      </x:c>
      <x:c r="M5" s="17"/>
      <x:c r="N5" s="18"/>
      <x:c r="O5" s="19" t="str">
        <x:f>IF(OR(M5="",L5=""),"",M5/L5)</x:f>
      </x:c>
      <x:c r="P5" s="17" t="str">
        <x:f>IF(OR(M5="",N5=""),"",M5*N5)</x:f>
      </x:c>
      <x:c r="Q5" s="17"/>
      <x:c r="R5" s="17" t="str">
        <x:f>IF(OR(M5="",Q5="",Q5="未结算"),"",SWITCH(Q5,"赢",M5*N5,"输",0,"走水",M5,"取消",M5,"半赢",M5*(1+(N5-1)/2),"半输",M5*0.5,""))</x:f>
      </x:c>
      <x:c r="S5" s="17" t="str">
        <x:f>IF(R5="","",R5-M5)</x:f>
      </x:c>
      <x:c r="T5" s="19" t="str">
        <x:f>IF(OR(M5="",S5=""),"",S5/M5)</x:f>
      </x:c>
      <x:c r="U5" s="17" t="str">
        <x:f>IF(S5="","",'参数'!$B$3+SUM($S$3:S5))</x:f>
      </x:c>
      <x:c r="V5" s="15"/>
      <x:c r="W5" s="15"/>
      <x:c r="X5" s="15"/>
    </x:row>
    <x:row r="6" ht="25.5" customHeight="1">
      <x:c r="A6" s="15" t="str">
        <x:f>IF(D6="","",ROW()-2)</x:f>
      </x:c>
      <x:c r="B6" s="16"/>
      <x:c r="C6" s="15"/>
      <x:c r="D6" s="15"/>
      <x:c r="E6" s="16"/>
      <x:c r="F6" s="15"/>
      <x:c r="G6" s="15"/>
      <x:c r="H6" s="15"/>
      <x:c r="I6" s="15"/>
      <x:c r="J6" s="15"/>
      <x:c r="K6" s="15"/>
      <x:c r="L6" s="17" t="str">
        <x:f>IF(M6="","",'参数'!$B$3+IF(ROW()=3,0,SUM($S$3:INDEX($S:$S,ROW()-1))))</x:f>
      </x:c>
      <x:c r="M6" s="17"/>
      <x:c r="N6" s="18"/>
      <x:c r="O6" s="19" t="str">
        <x:f>IF(OR(M6="",L6=""),"",M6/L6)</x:f>
      </x:c>
      <x:c r="P6" s="17" t="str">
        <x:f>IF(OR(M6="",N6=""),"",M6*N6)</x:f>
      </x:c>
      <x:c r="Q6" s="17"/>
      <x:c r="R6" s="17" t="str">
        <x:f>IF(OR(M6="",Q6="",Q6="未结算"),"",SWITCH(Q6,"赢",M6*N6,"输",0,"走水",M6,"取消",M6,"半赢",M6*(1+(N6-1)/2),"半输",M6*0.5,""))</x:f>
      </x:c>
      <x:c r="S6" s="17" t="str">
        <x:f>IF(R6="","",R6-M6)</x:f>
      </x:c>
      <x:c r="T6" s="19" t="str">
        <x:f>IF(OR(M6="",S6=""),"",S6/M6)</x:f>
      </x:c>
      <x:c r="U6" s="17" t="str">
        <x:f>IF(S6="","",'参数'!$B$3+SUM($S$3:S6))</x:f>
      </x:c>
      <x:c r="V6" s="15"/>
      <x:c r="W6" s="15"/>
      <x:c r="X6" s="15"/>
    </x:row>
    <x:row r="7" ht="25.5" customHeight="1">
      <x:c r="A7" s="15" t="str">
        <x:f>IF(D7="","",ROW()-2)</x:f>
      </x:c>
      <x:c r="B7" s="16"/>
      <x:c r="C7" s="15"/>
      <x:c r="D7" s="15"/>
      <x:c r="E7" s="16"/>
      <x:c r="F7" s="15"/>
      <x:c r="G7" s="15"/>
      <x:c r="H7" s="15"/>
      <x:c r="I7" s="15"/>
      <x:c r="J7" s="15"/>
      <x:c r="K7" s="15"/>
      <x:c r="L7" s="17" t="str">
        <x:f>IF(M7="","",'参数'!$B$3+IF(ROW()=3,0,SUM($S$3:INDEX($S:$S,ROW()-1))))</x:f>
      </x:c>
      <x:c r="M7" s="17"/>
      <x:c r="N7" s="18"/>
      <x:c r="O7" s="19" t="str">
        <x:f>IF(OR(M7="",L7=""),"",M7/L7)</x:f>
      </x:c>
      <x:c r="P7" s="17" t="str">
        <x:f>IF(OR(M7="",N7=""),"",M7*N7)</x:f>
      </x:c>
      <x:c r="Q7" s="17"/>
      <x:c r="R7" s="17" t="str">
        <x:f>IF(OR(M7="",Q7="",Q7="未结算"),"",SWITCH(Q7,"赢",M7*N7,"输",0,"走水",M7,"取消",M7,"半赢",M7*(1+(N7-1)/2),"半输",M7*0.5,""))</x:f>
      </x:c>
      <x:c r="S7" s="17" t="str">
        <x:f>IF(R7="","",R7-M7)</x:f>
      </x:c>
      <x:c r="T7" s="19" t="str">
        <x:f>IF(OR(M7="",S7=""),"",S7/M7)</x:f>
      </x:c>
      <x:c r="U7" s="17" t="str">
        <x:f>IF(S7="","",'参数'!$B$3+SUM($S$3:S7))</x:f>
      </x:c>
      <x:c r="V7" s="15"/>
      <x:c r="W7" s="15"/>
      <x:c r="X7" s="15"/>
    </x:row>
    <x:row r="8" ht="25.5" customHeight="1">
      <x:c r="A8" s="15" t="str">
        <x:f>IF(D8="","",ROW()-2)</x:f>
      </x:c>
      <x:c r="B8" s="16"/>
      <x:c r="C8" s="15"/>
      <x:c r="D8" s="15"/>
      <x:c r="E8" s="16"/>
      <x:c r="F8" s="15"/>
      <x:c r="G8" s="15"/>
      <x:c r="H8" s="15"/>
      <x:c r="I8" s="15"/>
      <x:c r="J8" s="15"/>
      <x:c r="K8" s="15"/>
      <x:c r="L8" s="17" t="str">
        <x:f>IF(M8="","",'参数'!$B$3+IF(ROW()=3,0,SUM($S$3:INDEX($S:$S,ROW()-1))))</x:f>
      </x:c>
      <x:c r="M8" s="17"/>
      <x:c r="N8" s="18"/>
      <x:c r="O8" s="19" t="str">
        <x:f>IF(OR(M8="",L8=""),"",M8/L8)</x:f>
      </x:c>
      <x:c r="P8" s="17" t="str">
        <x:f>IF(OR(M8="",N8=""),"",M8*N8)</x:f>
      </x:c>
      <x:c r="Q8" s="17"/>
      <x:c r="R8" s="17" t="str">
        <x:f>IF(OR(M8="",Q8="",Q8="未结算"),"",SWITCH(Q8,"赢",M8*N8,"输",0,"走水",M8,"取消",M8,"半赢",M8*(1+(N8-1)/2),"半输",M8*0.5,""))</x:f>
      </x:c>
      <x:c r="S8" s="17" t="str">
        <x:f>IF(R8="","",R8-M8)</x:f>
      </x:c>
      <x:c r="T8" s="19" t="str">
        <x:f>IF(OR(M8="",S8=""),"",S8/M8)</x:f>
      </x:c>
      <x:c r="U8" s="17" t="str">
        <x:f>IF(S8="","",'参数'!$B$3+SUM($S$3:S8))</x:f>
      </x:c>
      <x:c r="V8" s="15"/>
      <x:c r="W8" s="15"/>
      <x:c r="X8" s="15"/>
    </x:row>
    <x:row r="9" ht="25.5" customHeight="1">
      <x:c r="A9" s="15" t="str">
        <x:f>IF(D9="","",ROW()-2)</x:f>
      </x:c>
      <x:c r="B9" s="16"/>
      <x:c r="C9" s="15"/>
      <x:c r="D9" s="15"/>
      <x:c r="E9" s="16"/>
      <x:c r="F9" s="15"/>
      <x:c r="G9" s="15"/>
      <x:c r="H9" s="15"/>
      <x:c r="I9" s="15"/>
      <x:c r="J9" s="15"/>
      <x:c r="K9" s="15"/>
      <x:c r="L9" s="17" t="str">
        <x:f>IF(M9="","",'参数'!$B$3+IF(ROW()=3,0,SUM($S$3:INDEX($S:$S,ROW()-1))))</x:f>
      </x:c>
      <x:c r="M9" s="17"/>
      <x:c r="N9" s="18"/>
      <x:c r="O9" s="19" t="str">
        <x:f>IF(OR(M9="",L9=""),"",M9/L9)</x:f>
      </x:c>
      <x:c r="P9" s="17" t="str">
        <x:f>IF(OR(M9="",N9=""),"",M9*N9)</x:f>
      </x:c>
      <x:c r="Q9" s="17"/>
      <x:c r="R9" s="17" t="str">
        <x:f>IF(OR(M9="",Q9="",Q9="未结算"),"",SWITCH(Q9,"赢",M9*N9,"输",0,"走水",M9,"取消",M9,"半赢",M9*(1+(N9-1)/2),"半输",M9*0.5,""))</x:f>
      </x:c>
      <x:c r="S9" s="17" t="str">
        <x:f>IF(R9="","",R9-M9)</x:f>
      </x:c>
      <x:c r="T9" s="19" t="str">
        <x:f>IF(OR(M9="",S9=""),"",S9/M9)</x:f>
      </x:c>
      <x:c r="U9" s="17" t="str">
        <x:f>IF(S9="","",'参数'!$B$3+SUM($S$3:S9))</x:f>
      </x:c>
      <x:c r="V9" s="15"/>
      <x:c r="W9" s="15"/>
      <x:c r="X9" s="15"/>
    </x:row>
    <x:row r="10" ht="25.5" customHeight="1">
      <x:c r="A10" s="15" t="str">
        <x:f>IF(D10="","",ROW()-2)</x:f>
      </x:c>
      <x:c r="B10" s="16"/>
      <x:c r="C10" s="15"/>
      <x:c r="D10" s="15"/>
      <x:c r="E10" s="16"/>
      <x:c r="F10" s="15"/>
      <x:c r="G10" s="15"/>
      <x:c r="H10" s="15"/>
      <x:c r="I10" s="15"/>
      <x:c r="J10" s="15"/>
      <x:c r="K10" s="15"/>
      <x:c r="L10" s="17" t="str">
        <x:f>IF(M10="","",'参数'!$B$3+IF(ROW()=3,0,SUM($S$3:INDEX($S:$S,ROW()-1))))</x:f>
      </x:c>
      <x:c r="M10" s="17"/>
      <x:c r="N10" s="18"/>
      <x:c r="O10" s="19" t="str">
        <x:f>IF(OR(M10="",L10=""),"",M10/L10)</x:f>
      </x:c>
      <x:c r="P10" s="17" t="str">
        <x:f>IF(OR(M10="",N10=""),"",M10*N10)</x:f>
      </x:c>
      <x:c r="Q10" s="17"/>
      <x:c r="R10" s="17" t="str">
        <x:f>IF(OR(M10="",Q10="",Q10="未结算"),"",SWITCH(Q10,"赢",M10*N10,"输",0,"走水",M10,"取消",M10,"半赢",M10*(1+(N10-1)/2),"半输",M10*0.5,""))</x:f>
      </x:c>
      <x:c r="S10" s="17" t="str">
        <x:f>IF(R10="","",R10-M10)</x:f>
      </x:c>
      <x:c r="T10" s="19" t="str">
        <x:f>IF(OR(M10="",S10=""),"",S10/M10)</x:f>
      </x:c>
      <x:c r="U10" s="17" t="str">
        <x:f>IF(S10="","",'参数'!$B$3+SUM($S$3:S10))</x:f>
      </x:c>
      <x:c r="V10" s="15"/>
      <x:c r="W10" s="15"/>
      <x:c r="X10" s="15"/>
    </x:row>
    <x:row r="11" ht="25.5" customHeight="1">
      <x:c r="A11" s="15" t="str">
        <x:f>IF(D11="","",ROW()-2)</x:f>
      </x:c>
      <x:c r="B11" s="16"/>
      <x:c r="C11" s="15"/>
      <x:c r="D11" s="15"/>
      <x:c r="E11" s="16"/>
      <x:c r="F11" s="15"/>
      <x:c r="G11" s="15"/>
      <x:c r="H11" s="15"/>
      <x:c r="I11" s="15"/>
      <x:c r="J11" s="15"/>
      <x:c r="K11" s="15"/>
      <x:c r="L11" s="17" t="str">
        <x:f>IF(M11="","",'参数'!$B$3+IF(ROW()=3,0,SUM($S$3:INDEX($S:$S,ROW()-1))))</x:f>
      </x:c>
      <x:c r="M11" s="17"/>
      <x:c r="N11" s="18"/>
      <x:c r="O11" s="19" t="str">
        <x:f>IF(OR(M11="",L11=""),"",M11/L11)</x:f>
      </x:c>
      <x:c r="P11" s="17" t="str">
        <x:f>IF(OR(M11="",N11=""),"",M11*N11)</x:f>
      </x:c>
      <x:c r="Q11" s="17"/>
      <x:c r="R11" s="17" t="str">
        <x:f>IF(OR(M11="",Q11="",Q11="未结算"),"",SWITCH(Q11,"赢",M11*N11,"输",0,"走水",M11,"取消",M11,"半赢",M11*(1+(N11-1)/2),"半输",M11*0.5,""))</x:f>
      </x:c>
      <x:c r="S11" s="17" t="str">
        <x:f>IF(R11="","",R11-M11)</x:f>
      </x:c>
      <x:c r="T11" s="19" t="str">
        <x:f>IF(OR(M11="",S11=""),"",S11/M11)</x:f>
      </x:c>
      <x:c r="U11" s="17" t="str">
        <x:f>IF(S11="","",'参数'!$B$3+SUM($S$3:S11))</x:f>
      </x:c>
      <x:c r="V11" s="15"/>
      <x:c r="W11" s="15"/>
      <x:c r="X11" s="15"/>
    </x:row>
    <x:row r="12" ht="25.5" customHeight="1">
      <x:c r="A12" s="15" t="str">
        <x:f>IF(D12="","",ROW()-2)</x:f>
      </x:c>
      <x:c r="B12" s="16"/>
      <x:c r="C12" s="15"/>
      <x:c r="D12" s="15"/>
      <x:c r="E12" s="16"/>
      <x:c r="F12" s="15"/>
      <x:c r="G12" s="15"/>
      <x:c r="H12" s="15"/>
      <x:c r="I12" s="15"/>
      <x:c r="J12" s="15"/>
      <x:c r="K12" s="15"/>
      <x:c r="L12" s="17" t="str">
        <x:f>IF(M12="","",'参数'!$B$3+IF(ROW()=3,0,SUM($S$3:INDEX($S:$S,ROW()-1))))</x:f>
      </x:c>
      <x:c r="M12" s="17"/>
      <x:c r="N12" s="18"/>
      <x:c r="O12" s="19" t="str">
        <x:f>IF(OR(M12="",L12=""),"",M12/L12)</x:f>
      </x:c>
      <x:c r="P12" s="17" t="str">
        <x:f>IF(OR(M12="",N12=""),"",M12*N12)</x:f>
      </x:c>
      <x:c r="Q12" s="17"/>
      <x:c r="R12" s="17" t="str">
        <x:f>IF(OR(M12="",Q12="",Q12="未结算"),"",SWITCH(Q12,"赢",M12*N12,"输",0,"走水",M12,"取消",M12,"半赢",M12*(1+(N12-1)/2),"半输",M12*0.5,""))</x:f>
      </x:c>
      <x:c r="S12" s="17" t="str">
        <x:f>IF(R12="","",R12-M12)</x:f>
      </x:c>
      <x:c r="T12" s="19" t="str">
        <x:f>IF(OR(M12="",S12=""),"",S12/M12)</x:f>
      </x:c>
      <x:c r="U12" s="17" t="str">
        <x:f>IF(S12="","",'参数'!$B$3+SUM($S$3:S12))</x:f>
      </x:c>
      <x:c r="V12" s="15"/>
      <x:c r="W12" s="15"/>
      <x:c r="X12" s="15"/>
    </x:row>
    <x:row r="13" ht="25.5" customHeight="1">
      <x:c r="A13" s="15" t="str">
        <x:f>IF(D13="","",ROW()-2)</x:f>
      </x:c>
      <x:c r="B13" s="16"/>
      <x:c r="C13" s="15"/>
      <x:c r="D13" s="15"/>
      <x:c r="E13" s="16"/>
      <x:c r="F13" s="15"/>
      <x:c r="G13" s="15"/>
      <x:c r="H13" s="15"/>
      <x:c r="I13" s="15"/>
      <x:c r="J13" s="15"/>
      <x:c r="K13" s="15"/>
      <x:c r="L13" s="17" t="str">
        <x:f>IF(M13="","",'参数'!$B$3+IF(ROW()=3,0,SUM($S$3:INDEX($S:$S,ROW()-1))))</x:f>
      </x:c>
      <x:c r="M13" s="17"/>
      <x:c r="N13" s="18"/>
      <x:c r="O13" s="19" t="str">
        <x:f>IF(OR(M13="",L13=""),"",M13/L13)</x:f>
      </x:c>
      <x:c r="P13" s="17" t="str">
        <x:f>IF(OR(M13="",N13=""),"",M13*N13)</x:f>
      </x:c>
      <x:c r="Q13" s="17"/>
      <x:c r="R13" s="17" t="str">
        <x:f>IF(OR(M13="",Q13="",Q13="未结算"),"",SWITCH(Q13,"赢",M13*N13,"输",0,"走水",M13,"取消",M13,"半赢",M13*(1+(N13-1)/2),"半输",M13*0.5,""))</x:f>
      </x:c>
      <x:c r="S13" s="17" t="str">
        <x:f>IF(R13="","",R13-M13)</x:f>
      </x:c>
      <x:c r="T13" s="19" t="str">
        <x:f>IF(OR(M13="",S13=""),"",S13/M13)</x:f>
      </x:c>
      <x:c r="U13" s="17" t="str">
        <x:f>IF(S13="","",'参数'!$B$3+SUM($S$3:S13))</x:f>
      </x:c>
      <x:c r="V13" s="15"/>
      <x:c r="W13" s="15"/>
      <x:c r="X13" s="15"/>
    </x:row>
    <x:row r="14" ht="25.5" customHeight="1">
      <x:c r="A14" s="15" t="str">
        <x:f>IF(D14="","",ROW()-2)</x:f>
      </x:c>
      <x:c r="B14" s="16"/>
      <x:c r="C14" s="15"/>
      <x:c r="D14" s="15"/>
      <x:c r="E14" s="16"/>
      <x:c r="F14" s="15"/>
      <x:c r="G14" s="15"/>
      <x:c r="H14" s="15"/>
      <x:c r="I14" s="15"/>
      <x:c r="J14" s="15"/>
      <x:c r="K14" s="15"/>
      <x:c r="L14" s="17" t="str">
        <x:f>IF(M14="","",'参数'!$B$3+IF(ROW()=3,0,SUM($S$3:INDEX($S:$S,ROW()-1))))</x:f>
      </x:c>
      <x:c r="M14" s="17"/>
      <x:c r="N14" s="18"/>
      <x:c r="O14" s="19" t="str">
        <x:f>IF(OR(M14="",L14=""),"",M14/L14)</x:f>
      </x:c>
      <x:c r="P14" s="17" t="str">
        <x:f>IF(OR(M14="",N14=""),"",M14*N14)</x:f>
      </x:c>
      <x:c r="Q14" s="17"/>
      <x:c r="R14" s="17" t="str">
        <x:f>IF(OR(M14="",Q14="",Q14="未结算"),"",SWITCH(Q14,"赢",M14*N14,"输",0,"走水",M14,"取消",M14,"半赢",M14*(1+(N14-1)/2),"半输",M14*0.5,""))</x:f>
      </x:c>
      <x:c r="S14" s="17" t="str">
        <x:f>IF(R14="","",R14-M14)</x:f>
      </x:c>
      <x:c r="T14" s="19" t="str">
        <x:f>IF(OR(M14="",S14=""),"",S14/M14)</x:f>
      </x:c>
      <x:c r="U14" s="17" t="str">
        <x:f>IF(S14="","",'参数'!$B$3+SUM($S$3:S14))</x:f>
      </x:c>
      <x:c r="V14" s="15"/>
      <x:c r="W14" s="15"/>
      <x:c r="X14" s="15"/>
    </x:row>
    <x:row r="15" ht="25.5" customHeight="1">
      <x:c r="A15" s="15" t="str">
        <x:f>IF(D15="","",ROW()-2)</x:f>
      </x:c>
      <x:c r="B15" s="16"/>
      <x:c r="C15" s="15"/>
      <x:c r="D15" s="15"/>
      <x:c r="E15" s="16"/>
      <x:c r="F15" s="15"/>
      <x:c r="G15" s="15"/>
      <x:c r="H15" s="15"/>
      <x:c r="I15" s="15"/>
      <x:c r="J15" s="15"/>
      <x:c r="K15" s="15"/>
      <x:c r="L15" s="17" t="str">
        <x:f>IF(M15="","",'参数'!$B$3+IF(ROW()=3,0,SUM($S$3:INDEX($S:$S,ROW()-1))))</x:f>
      </x:c>
      <x:c r="M15" s="17"/>
      <x:c r="N15" s="18"/>
      <x:c r="O15" s="19" t="str">
        <x:f>IF(OR(M15="",L15=""),"",M15/L15)</x:f>
      </x:c>
      <x:c r="P15" s="17" t="str">
        <x:f>IF(OR(M15="",N15=""),"",M15*N15)</x:f>
      </x:c>
      <x:c r="Q15" s="17"/>
      <x:c r="R15" s="17" t="str">
        <x:f>IF(OR(M15="",Q15="",Q15="未结算"),"",SWITCH(Q15,"赢",M15*N15,"输",0,"走水",M15,"取消",M15,"半赢",M15*(1+(N15-1)/2),"半输",M15*0.5,""))</x:f>
      </x:c>
      <x:c r="S15" s="17" t="str">
        <x:f>IF(R15="","",R15-M15)</x:f>
      </x:c>
      <x:c r="T15" s="19" t="str">
        <x:f>IF(OR(M15="",S15=""),"",S15/M15)</x:f>
      </x:c>
      <x:c r="U15" s="17" t="str">
        <x:f>IF(S15="","",'参数'!$B$3+SUM($S$3:S15))</x:f>
      </x:c>
      <x:c r="V15" s="15"/>
      <x:c r="W15" s="15"/>
      <x:c r="X15" s="15"/>
    </x:row>
    <x:row r="16" ht="25.5" customHeight="1">
      <x:c r="A16" s="15" t="str">
        <x:f>IF(D16="","",ROW()-2)</x:f>
      </x:c>
      <x:c r="B16" s="16"/>
      <x:c r="C16" s="15"/>
      <x:c r="D16" s="15"/>
      <x:c r="E16" s="16"/>
      <x:c r="F16" s="15"/>
      <x:c r="G16" s="15"/>
      <x:c r="H16" s="15"/>
      <x:c r="I16" s="15"/>
      <x:c r="J16" s="15"/>
      <x:c r="K16" s="15"/>
      <x:c r="L16" s="17" t="str">
        <x:f>IF(M16="","",'参数'!$B$3+IF(ROW()=3,0,SUM($S$3:INDEX($S:$S,ROW()-1))))</x:f>
      </x:c>
      <x:c r="M16" s="17"/>
      <x:c r="N16" s="18"/>
      <x:c r="O16" s="19" t="str">
        <x:f>IF(OR(M16="",L16=""),"",M16/L16)</x:f>
      </x:c>
      <x:c r="P16" s="17" t="str">
        <x:f>IF(OR(M16="",N16=""),"",M16*N16)</x:f>
      </x:c>
      <x:c r="Q16" s="17"/>
      <x:c r="R16" s="17" t="str">
        <x:f>IF(OR(M16="",Q16="",Q16="未结算"),"",SWITCH(Q16,"赢",M16*N16,"输",0,"走水",M16,"取消",M16,"半赢",M16*(1+(N16-1)/2),"半输",M16*0.5,""))</x:f>
      </x:c>
      <x:c r="S16" s="17" t="str">
        <x:f>IF(R16="","",R16-M16)</x:f>
      </x:c>
      <x:c r="T16" s="19" t="str">
        <x:f>IF(OR(M16="",S16=""),"",S16/M16)</x:f>
      </x:c>
      <x:c r="U16" s="17" t="str">
        <x:f>IF(S16="","",'参数'!$B$3+SUM($S$3:S16))</x:f>
      </x:c>
      <x:c r="V16" s="15"/>
      <x:c r="W16" s="15"/>
      <x:c r="X16" s="15"/>
    </x:row>
    <x:row r="17" ht="25.5" customHeight="1">
      <x:c r="A17" s="15" t="str">
        <x:f>IF(D17="","",ROW()-2)</x:f>
      </x:c>
      <x:c r="B17" s="16"/>
      <x:c r="C17" s="15"/>
      <x:c r="D17" s="15"/>
      <x:c r="E17" s="16"/>
      <x:c r="F17" s="15"/>
      <x:c r="G17" s="15"/>
      <x:c r="H17" s="15"/>
      <x:c r="I17" s="15"/>
      <x:c r="J17" s="15"/>
      <x:c r="K17" s="15"/>
      <x:c r="L17" s="17" t="str">
        <x:f>IF(M17="","",'参数'!$B$3+IF(ROW()=3,0,SUM($S$3:INDEX($S:$S,ROW()-1))))</x:f>
      </x:c>
      <x:c r="M17" s="17"/>
      <x:c r="N17" s="18"/>
      <x:c r="O17" s="19" t="str">
        <x:f>IF(OR(M17="",L17=""),"",M17/L17)</x:f>
      </x:c>
      <x:c r="P17" s="17" t="str">
        <x:f>IF(OR(M17="",N17=""),"",M17*N17)</x:f>
      </x:c>
      <x:c r="Q17" s="17"/>
      <x:c r="R17" s="17" t="str">
        <x:f>IF(OR(M17="",Q17="",Q17="未结算"),"",SWITCH(Q17,"赢",M17*N17,"输",0,"走水",M17,"取消",M17,"半赢",M17*(1+(N17-1)/2),"半输",M17*0.5,""))</x:f>
      </x:c>
      <x:c r="S17" s="17" t="str">
        <x:f>IF(R17="","",R17-M17)</x:f>
      </x:c>
      <x:c r="T17" s="19" t="str">
        <x:f>IF(OR(M17="",S17=""),"",S17/M17)</x:f>
      </x:c>
      <x:c r="U17" s="17" t="str">
        <x:f>IF(S17="","",'参数'!$B$3+SUM($S$3:S17))</x:f>
      </x:c>
      <x:c r="V17" s="15"/>
      <x:c r="W17" s="15"/>
      <x:c r="X17" s="15"/>
    </x:row>
    <x:row r="18" ht="25.5" customHeight="1">
      <x:c r="A18" s="15" t="str">
        <x:f>IF(D18="","",ROW()-2)</x:f>
      </x:c>
      <x:c r="B18" s="16"/>
      <x:c r="C18" s="15"/>
      <x:c r="D18" s="15"/>
      <x:c r="E18" s="16"/>
      <x:c r="F18" s="15"/>
      <x:c r="G18" s="15"/>
      <x:c r="H18" s="15"/>
      <x:c r="I18" s="15"/>
      <x:c r="J18" s="15"/>
      <x:c r="K18" s="15"/>
      <x:c r="L18" s="17" t="str">
        <x:f>IF(M18="","",'参数'!$B$3+IF(ROW()=3,0,SUM($S$3:INDEX($S:$S,ROW()-1))))</x:f>
      </x:c>
      <x:c r="M18" s="17"/>
      <x:c r="N18" s="18"/>
      <x:c r="O18" s="19" t="str">
        <x:f>IF(OR(M18="",L18=""),"",M18/L18)</x:f>
      </x:c>
      <x:c r="P18" s="17" t="str">
        <x:f>IF(OR(M18="",N18=""),"",M18*N18)</x:f>
      </x:c>
      <x:c r="Q18" s="17"/>
      <x:c r="R18" s="17" t="str">
        <x:f>IF(OR(M18="",Q18="",Q18="未结算"),"",SWITCH(Q18,"赢",M18*N18,"输",0,"走水",M18,"取消",M18,"半赢",M18*(1+(N18-1)/2),"半输",M18*0.5,""))</x:f>
      </x:c>
      <x:c r="S18" s="17" t="str">
        <x:f>IF(R18="","",R18-M18)</x:f>
      </x:c>
      <x:c r="T18" s="19" t="str">
        <x:f>IF(OR(M18="",S18=""),"",S18/M18)</x:f>
      </x:c>
      <x:c r="U18" s="17" t="str">
        <x:f>IF(S18="","",'参数'!$B$3+SUM($S$3:S18))</x:f>
      </x:c>
      <x:c r="V18" s="15"/>
      <x:c r="W18" s="15"/>
      <x:c r="X18" s="15"/>
    </x:row>
    <x:row r="19" ht="25.5" customHeight="1">
      <x:c r="A19" s="15" t="str">
        <x:f>IF(D19="","",ROW()-2)</x:f>
      </x:c>
      <x:c r="B19" s="16"/>
      <x:c r="C19" s="15"/>
      <x:c r="D19" s="15"/>
      <x:c r="E19" s="16"/>
      <x:c r="F19" s="15"/>
      <x:c r="G19" s="15"/>
      <x:c r="H19" s="15"/>
      <x:c r="I19" s="15"/>
      <x:c r="J19" s="15"/>
      <x:c r="K19" s="15"/>
      <x:c r="L19" s="17" t="str">
        <x:f>IF(M19="","",'参数'!$B$3+IF(ROW()=3,0,SUM($S$3:INDEX($S:$S,ROW()-1))))</x:f>
      </x:c>
      <x:c r="M19" s="17"/>
      <x:c r="N19" s="18"/>
      <x:c r="O19" s="19" t="str">
        <x:f>IF(OR(M19="",L19=""),"",M19/L19)</x:f>
      </x:c>
      <x:c r="P19" s="17" t="str">
        <x:f>IF(OR(M19="",N19=""),"",M19*N19)</x:f>
      </x:c>
      <x:c r="Q19" s="17"/>
      <x:c r="R19" s="17" t="str">
        <x:f>IF(OR(M19="",Q19="",Q19="未结算"),"",SWITCH(Q19,"赢",M19*N19,"输",0,"走水",M19,"取消",M19,"半赢",M19*(1+(N19-1)/2),"半输",M19*0.5,""))</x:f>
      </x:c>
      <x:c r="S19" s="17" t="str">
        <x:f>IF(R19="","",R19-M19)</x:f>
      </x:c>
      <x:c r="T19" s="19" t="str">
        <x:f>IF(OR(M19="",S19=""),"",S19/M19)</x:f>
      </x:c>
      <x:c r="U19" s="17" t="str">
        <x:f>IF(S19="","",'参数'!$B$3+SUM($S$3:S19))</x:f>
      </x:c>
      <x:c r="V19" s="15"/>
      <x:c r="W19" s="15"/>
      <x:c r="X19" s="15"/>
    </x:row>
    <x:row r="20" ht="25.5" customHeight="1">
      <x:c r="A20" s="15" t="str">
        <x:f>IF(D20="","",ROW()-2)</x:f>
      </x:c>
      <x:c r="B20" s="16"/>
      <x:c r="C20" s="15"/>
      <x:c r="D20" s="15"/>
      <x:c r="E20" s="16"/>
      <x:c r="F20" s="15"/>
      <x:c r="G20" s="15"/>
      <x:c r="H20" s="15"/>
      <x:c r="I20" s="15"/>
      <x:c r="J20" s="15"/>
      <x:c r="K20" s="15"/>
      <x:c r="L20" s="17" t="str">
        <x:f>IF(M20="","",'参数'!$B$3+IF(ROW()=3,0,SUM($S$3:INDEX($S:$S,ROW()-1))))</x:f>
      </x:c>
      <x:c r="M20" s="17"/>
      <x:c r="N20" s="18"/>
      <x:c r="O20" s="19" t="str">
        <x:f>IF(OR(M20="",L20=""),"",M20/L20)</x:f>
      </x:c>
      <x:c r="P20" s="17" t="str">
        <x:f>IF(OR(M20="",N20=""),"",M20*N20)</x:f>
      </x:c>
      <x:c r="Q20" s="17"/>
      <x:c r="R20" s="17" t="str">
        <x:f>IF(OR(M20="",Q20="",Q20="未结算"),"",SWITCH(Q20,"赢",M20*N20,"输",0,"走水",M20,"取消",M20,"半赢",M20*(1+(N20-1)/2),"半输",M20*0.5,""))</x:f>
      </x:c>
      <x:c r="S20" s="17" t="str">
        <x:f>IF(R20="","",R20-M20)</x:f>
      </x:c>
      <x:c r="T20" s="19" t="str">
        <x:f>IF(OR(M20="",S20=""),"",S20/M20)</x:f>
      </x:c>
      <x:c r="U20" s="17" t="str">
        <x:f>IF(S20="","",'参数'!$B$3+SUM($S$3:S20))</x:f>
      </x:c>
      <x:c r="V20" s="15"/>
      <x:c r="W20" s="15"/>
      <x:c r="X20" s="15"/>
    </x:row>
    <x:row r="21" ht="25.5" customHeight="1">
      <x:c r="A21" s="15" t="str">
        <x:f>IF(D21="","",ROW()-2)</x:f>
      </x:c>
      <x:c r="B21" s="16"/>
      <x:c r="C21" s="15"/>
      <x:c r="D21" s="15"/>
      <x:c r="E21" s="16"/>
      <x:c r="F21" s="15"/>
      <x:c r="G21" s="15"/>
      <x:c r="H21" s="15"/>
      <x:c r="I21" s="15"/>
      <x:c r="J21" s="15"/>
      <x:c r="K21" s="15"/>
      <x:c r="L21" s="17" t="str">
        <x:f>IF(M21="","",'参数'!$B$3+IF(ROW()=3,0,SUM($S$3:INDEX($S:$S,ROW()-1))))</x:f>
      </x:c>
      <x:c r="M21" s="17"/>
      <x:c r="N21" s="18"/>
      <x:c r="O21" s="19" t="str">
        <x:f>IF(OR(M21="",L21=""),"",M21/L21)</x:f>
      </x:c>
      <x:c r="P21" s="17" t="str">
        <x:f>IF(OR(M21="",N21=""),"",M21*N21)</x:f>
      </x:c>
      <x:c r="Q21" s="17"/>
      <x:c r="R21" s="17" t="str">
        <x:f>IF(OR(M21="",Q21="",Q21="未结算"),"",SWITCH(Q21,"赢",M21*N21,"输",0,"走水",M21,"取消",M21,"半赢",M21*(1+(N21-1)/2),"半输",M21*0.5,""))</x:f>
      </x:c>
      <x:c r="S21" s="17" t="str">
        <x:f>IF(R21="","",R21-M21)</x:f>
      </x:c>
      <x:c r="T21" s="19" t="str">
        <x:f>IF(OR(M21="",S21=""),"",S21/M21)</x:f>
      </x:c>
      <x:c r="U21" s="17" t="str">
        <x:f>IF(S21="","",'参数'!$B$3+SUM($S$3:S21))</x:f>
      </x:c>
      <x:c r="V21" s="15"/>
      <x:c r="W21" s="15"/>
      <x:c r="X21" s="15"/>
    </x:row>
    <x:row r="22" ht="25.5" customHeight="1">
      <x:c r="A22" s="15" t="str">
        <x:f>IF(D22="","",ROW()-2)</x:f>
      </x:c>
      <x:c r="B22" s="16"/>
      <x:c r="C22" s="15"/>
      <x:c r="D22" s="15"/>
      <x:c r="E22" s="16"/>
      <x:c r="F22" s="15"/>
      <x:c r="G22" s="15"/>
      <x:c r="H22" s="15"/>
      <x:c r="I22" s="15"/>
      <x:c r="J22" s="15"/>
      <x:c r="K22" s="15"/>
      <x:c r="L22" s="17" t="str">
        <x:f>IF(M22="","",'参数'!$B$3+IF(ROW()=3,0,SUM($S$3:INDEX($S:$S,ROW()-1))))</x:f>
      </x:c>
      <x:c r="M22" s="17"/>
      <x:c r="N22" s="18"/>
      <x:c r="O22" s="19" t="str">
        <x:f>IF(OR(M22="",L22=""),"",M22/L22)</x:f>
      </x:c>
      <x:c r="P22" s="17" t="str">
        <x:f>IF(OR(M22="",N22=""),"",M22*N22)</x:f>
      </x:c>
      <x:c r="Q22" s="17"/>
      <x:c r="R22" s="17" t="str">
        <x:f>IF(OR(M22="",Q22="",Q22="未结算"),"",SWITCH(Q22,"赢",M22*N22,"输",0,"走水",M22,"取消",M22,"半赢",M22*(1+(N22-1)/2),"半输",M22*0.5,""))</x:f>
      </x:c>
      <x:c r="S22" s="17" t="str">
        <x:f>IF(R22="","",R22-M22)</x:f>
      </x:c>
      <x:c r="T22" s="19" t="str">
        <x:f>IF(OR(M22="",S22=""),"",S22/M22)</x:f>
      </x:c>
      <x:c r="U22" s="17" t="str">
        <x:f>IF(S22="","",'参数'!$B$3+SUM($S$3:S22))</x:f>
      </x:c>
      <x:c r="V22" s="15"/>
      <x:c r="W22" s="15"/>
      <x:c r="X22" s="15"/>
    </x:row>
    <x:row r="23" ht="25.5" customHeight="1">
      <x:c r="A23" s="15" t="str">
        <x:f>IF(D23="","",ROW()-2)</x:f>
      </x:c>
      <x:c r="B23" s="16"/>
      <x:c r="C23" s="15"/>
      <x:c r="D23" s="15"/>
      <x:c r="E23" s="16"/>
      <x:c r="F23" s="15"/>
      <x:c r="G23" s="15"/>
      <x:c r="H23" s="15"/>
      <x:c r="I23" s="15"/>
      <x:c r="J23" s="15"/>
      <x:c r="K23" s="15"/>
      <x:c r="L23" s="17" t="str">
        <x:f>IF(M23="","",'参数'!$B$3+IF(ROW()=3,0,SUM($S$3:INDEX($S:$S,ROW()-1))))</x:f>
      </x:c>
      <x:c r="M23" s="17"/>
      <x:c r="N23" s="18"/>
      <x:c r="O23" s="19" t="str">
        <x:f>IF(OR(M23="",L23=""),"",M23/L23)</x:f>
      </x:c>
      <x:c r="P23" s="17" t="str">
        <x:f>IF(OR(M23="",N23=""),"",M23*N23)</x:f>
      </x:c>
      <x:c r="Q23" s="17"/>
      <x:c r="R23" s="17" t="str">
        <x:f>IF(OR(M23="",Q23="",Q23="未结算"),"",SWITCH(Q23,"赢",M23*N23,"输",0,"走水",M23,"取消",M23,"半赢",M23*(1+(N23-1)/2),"半输",M23*0.5,""))</x:f>
      </x:c>
      <x:c r="S23" s="17" t="str">
        <x:f>IF(R23="","",R23-M23)</x:f>
      </x:c>
      <x:c r="T23" s="19" t="str">
        <x:f>IF(OR(M23="",S23=""),"",S23/M23)</x:f>
      </x:c>
      <x:c r="U23" s="17" t="str">
        <x:f>IF(S23="","",'参数'!$B$3+SUM($S$3:S23))</x:f>
      </x:c>
      <x:c r="V23" s="15"/>
      <x:c r="W23" s="15"/>
      <x:c r="X23" s="15"/>
    </x:row>
    <x:row r="24" ht="25.5" customHeight="1">
      <x:c r="A24" s="15" t="str">
        <x:f>IF(D24="","",ROW()-2)</x:f>
      </x:c>
      <x:c r="B24" s="16"/>
      <x:c r="C24" s="15"/>
      <x:c r="D24" s="15"/>
      <x:c r="E24" s="16"/>
      <x:c r="F24" s="15"/>
      <x:c r="G24" s="15"/>
      <x:c r="H24" s="15"/>
      <x:c r="I24" s="15"/>
      <x:c r="J24" s="15"/>
      <x:c r="K24" s="15"/>
      <x:c r="L24" s="17" t="str">
        <x:f>IF(M24="","",'参数'!$B$3+IF(ROW()=3,0,SUM($S$3:INDEX($S:$S,ROW()-1))))</x:f>
      </x:c>
      <x:c r="M24" s="17"/>
      <x:c r="N24" s="18"/>
      <x:c r="O24" s="19" t="str">
        <x:f>IF(OR(M24="",L24=""),"",M24/L24)</x:f>
      </x:c>
      <x:c r="P24" s="17" t="str">
        <x:f>IF(OR(M24="",N24=""),"",M24*N24)</x:f>
      </x:c>
      <x:c r="Q24" s="17"/>
      <x:c r="R24" s="17" t="str">
        <x:f>IF(OR(M24="",Q24="",Q24="未结算"),"",SWITCH(Q24,"赢",M24*N24,"输",0,"走水",M24,"取消",M24,"半赢",M24*(1+(N24-1)/2),"半输",M24*0.5,""))</x:f>
      </x:c>
      <x:c r="S24" s="17" t="str">
        <x:f>IF(R24="","",R24-M24)</x:f>
      </x:c>
      <x:c r="T24" s="19" t="str">
        <x:f>IF(OR(M24="",S24=""),"",S24/M24)</x:f>
      </x:c>
      <x:c r="U24" s="17" t="str">
        <x:f>IF(S24="","",'参数'!$B$3+SUM($S$3:S24))</x:f>
      </x:c>
      <x:c r="V24" s="15"/>
      <x:c r="W24" s="15"/>
      <x:c r="X24" s="15"/>
    </x:row>
    <x:row r="25" ht="25.5" customHeight="1">
      <x:c r="A25" s="15" t="str">
        <x:f>IF(D25="","",ROW()-2)</x:f>
      </x:c>
      <x:c r="B25" s="16"/>
      <x:c r="C25" s="15"/>
      <x:c r="D25" s="15"/>
      <x:c r="E25" s="16"/>
      <x:c r="F25" s="15"/>
      <x:c r="G25" s="15"/>
      <x:c r="H25" s="15"/>
      <x:c r="I25" s="15"/>
      <x:c r="J25" s="15"/>
      <x:c r="K25" s="15"/>
      <x:c r="L25" s="17" t="str">
        <x:f>IF(M25="","",'参数'!$B$3+IF(ROW()=3,0,SUM($S$3:INDEX($S:$S,ROW()-1))))</x:f>
      </x:c>
      <x:c r="M25" s="17"/>
      <x:c r="N25" s="18"/>
      <x:c r="O25" s="19" t="str">
        <x:f>IF(OR(M25="",L25=""),"",M25/L25)</x:f>
      </x:c>
      <x:c r="P25" s="17" t="str">
        <x:f>IF(OR(M25="",N25=""),"",M25*N25)</x:f>
      </x:c>
      <x:c r="Q25" s="17"/>
      <x:c r="R25" s="17" t="str">
        <x:f>IF(OR(M25="",Q25="",Q25="未结算"),"",SWITCH(Q25,"赢",M25*N25,"输",0,"走水",M25,"取消",M25,"半赢",M25*(1+(N25-1)/2),"半输",M25*0.5,""))</x:f>
      </x:c>
      <x:c r="S25" s="17" t="str">
        <x:f>IF(R25="","",R25-M25)</x:f>
      </x:c>
      <x:c r="T25" s="19" t="str">
        <x:f>IF(OR(M25="",S25=""),"",S25/M25)</x:f>
      </x:c>
      <x:c r="U25" s="17" t="str">
        <x:f>IF(S25="","",'参数'!$B$3+SUM($S$3:S25))</x:f>
      </x:c>
      <x:c r="V25" s="15"/>
      <x:c r="W25" s="15"/>
      <x:c r="X25" s="15"/>
    </x:row>
    <x:row r="26" ht="25.5" customHeight="1">
      <x:c r="A26" s="15" t="str">
        <x:f>IF(D26="","",ROW()-2)</x:f>
      </x:c>
      <x:c r="B26" s="16"/>
      <x:c r="C26" s="15"/>
      <x:c r="D26" s="15"/>
      <x:c r="E26" s="16"/>
      <x:c r="F26" s="15"/>
      <x:c r="G26" s="15"/>
      <x:c r="H26" s="15"/>
      <x:c r="I26" s="15"/>
      <x:c r="J26" s="15"/>
      <x:c r="K26" s="15"/>
      <x:c r="L26" s="17" t="str">
        <x:f>IF(M26="","",'参数'!$B$3+IF(ROW()=3,0,SUM($S$3:INDEX($S:$S,ROW()-1))))</x:f>
      </x:c>
      <x:c r="M26" s="17"/>
      <x:c r="N26" s="18"/>
      <x:c r="O26" s="19" t="str">
        <x:f>IF(OR(M26="",L26=""),"",M26/L26)</x:f>
      </x:c>
      <x:c r="P26" s="17" t="str">
        <x:f>IF(OR(M26="",N26=""),"",M26*N26)</x:f>
      </x:c>
      <x:c r="Q26" s="17"/>
      <x:c r="R26" s="17" t="str">
        <x:f>IF(OR(M26="",Q26="",Q26="未结算"),"",SWITCH(Q26,"赢",M26*N26,"输",0,"走水",M26,"取消",M26,"半赢",M26*(1+(N26-1)/2),"半输",M26*0.5,""))</x:f>
      </x:c>
      <x:c r="S26" s="17" t="str">
        <x:f>IF(R26="","",R26-M26)</x:f>
      </x:c>
      <x:c r="T26" s="19" t="str">
        <x:f>IF(OR(M26="",S26=""),"",S26/M26)</x:f>
      </x:c>
      <x:c r="U26" s="17" t="str">
        <x:f>IF(S26="","",'参数'!$B$3+SUM($S$3:S26))</x:f>
      </x:c>
      <x:c r="V26" s="15"/>
      <x:c r="W26" s="15"/>
      <x:c r="X26" s="15"/>
    </x:row>
    <x:row r="27" ht="25.5" customHeight="1">
      <x:c r="A27" s="15" t="str">
        <x:f>IF(D27="","",ROW()-2)</x:f>
      </x:c>
      <x:c r="B27" s="16"/>
      <x:c r="C27" s="15"/>
      <x:c r="D27" s="15"/>
      <x:c r="E27" s="16"/>
      <x:c r="F27" s="15"/>
      <x:c r="G27" s="15"/>
      <x:c r="H27" s="15"/>
      <x:c r="I27" s="15"/>
      <x:c r="J27" s="15"/>
      <x:c r="K27" s="15"/>
      <x:c r="L27" s="17" t="str">
        <x:f>IF(M27="","",'参数'!$B$3+IF(ROW()=3,0,SUM($S$3:INDEX($S:$S,ROW()-1))))</x:f>
      </x:c>
      <x:c r="M27" s="17"/>
      <x:c r="N27" s="18"/>
      <x:c r="O27" s="19" t="str">
        <x:f>IF(OR(M27="",L27=""),"",M27/L27)</x:f>
      </x:c>
      <x:c r="P27" s="17" t="str">
        <x:f>IF(OR(M27="",N27=""),"",M27*N27)</x:f>
      </x:c>
      <x:c r="Q27" s="17"/>
      <x:c r="R27" s="17" t="str">
        <x:f>IF(OR(M27="",Q27="",Q27="未结算"),"",SWITCH(Q27,"赢",M27*N27,"输",0,"走水",M27,"取消",M27,"半赢",M27*(1+(N27-1)/2),"半输",M27*0.5,""))</x:f>
      </x:c>
      <x:c r="S27" s="17" t="str">
        <x:f>IF(R27="","",R27-M27)</x:f>
      </x:c>
      <x:c r="T27" s="19" t="str">
        <x:f>IF(OR(M27="",S27=""),"",S27/M27)</x:f>
      </x:c>
      <x:c r="U27" s="17" t="str">
        <x:f>IF(S27="","",'参数'!$B$3+SUM($S$3:S27))</x:f>
      </x:c>
      <x:c r="V27" s="15"/>
      <x:c r="W27" s="15"/>
      <x:c r="X27" s="15"/>
    </x:row>
    <x:row r="28" ht="25.5" customHeight="1">
      <x:c r="A28" s="15" t="str">
        <x:f>IF(D28="","",ROW()-2)</x:f>
      </x:c>
      <x:c r="B28" s="16"/>
      <x:c r="C28" s="15"/>
      <x:c r="D28" s="15"/>
      <x:c r="E28" s="16"/>
      <x:c r="F28" s="15"/>
      <x:c r="G28" s="15"/>
      <x:c r="H28" s="15"/>
      <x:c r="I28" s="15"/>
      <x:c r="J28" s="15"/>
      <x:c r="K28" s="15"/>
      <x:c r="L28" s="17" t="str">
        <x:f>IF(M28="","",'参数'!$B$3+IF(ROW()=3,0,SUM($S$3:INDEX($S:$S,ROW()-1))))</x:f>
      </x:c>
      <x:c r="M28" s="17"/>
      <x:c r="N28" s="18"/>
      <x:c r="O28" s="19" t="str">
        <x:f>IF(OR(M28="",L28=""),"",M28/L28)</x:f>
      </x:c>
      <x:c r="P28" s="17" t="str">
        <x:f>IF(OR(M28="",N28=""),"",M28*N28)</x:f>
      </x:c>
      <x:c r="Q28" s="17"/>
      <x:c r="R28" s="17" t="str">
        <x:f>IF(OR(M28="",Q28="",Q28="未结算"),"",SWITCH(Q28,"赢",M28*N28,"输",0,"走水",M28,"取消",M28,"半赢",M28*(1+(N28-1)/2),"半输",M28*0.5,""))</x:f>
      </x:c>
      <x:c r="S28" s="17" t="str">
        <x:f>IF(R28="","",R28-M28)</x:f>
      </x:c>
      <x:c r="T28" s="19" t="str">
        <x:f>IF(OR(M28="",S28=""),"",S28/M28)</x:f>
      </x:c>
      <x:c r="U28" s="17" t="str">
        <x:f>IF(S28="","",'参数'!$B$3+SUM($S$3:S28))</x:f>
      </x:c>
      <x:c r="V28" s="15"/>
      <x:c r="W28" s="15"/>
      <x:c r="X28" s="15"/>
    </x:row>
    <x:row r="29" ht="25.5" customHeight="1">
      <x:c r="A29" s="15" t="str">
        <x:f>IF(D29="","",ROW()-2)</x:f>
      </x:c>
      <x:c r="B29" s="16"/>
      <x:c r="C29" s="15"/>
      <x:c r="D29" s="15"/>
      <x:c r="E29" s="16"/>
      <x:c r="F29" s="15"/>
      <x:c r="G29" s="15"/>
      <x:c r="H29" s="15"/>
      <x:c r="I29" s="15"/>
      <x:c r="J29" s="15"/>
      <x:c r="K29" s="15"/>
      <x:c r="L29" s="17" t="str">
        <x:f>IF(M29="","",'参数'!$B$3+IF(ROW()=3,0,SUM($S$3:INDEX($S:$S,ROW()-1))))</x:f>
      </x:c>
      <x:c r="M29" s="17"/>
      <x:c r="N29" s="18"/>
      <x:c r="O29" s="19" t="str">
        <x:f>IF(OR(M29="",L29=""),"",M29/L29)</x:f>
      </x:c>
      <x:c r="P29" s="17" t="str">
        <x:f>IF(OR(M29="",N29=""),"",M29*N29)</x:f>
      </x:c>
      <x:c r="Q29" s="17"/>
      <x:c r="R29" s="17" t="str">
        <x:f>IF(OR(M29="",Q29="",Q29="未结算"),"",SWITCH(Q29,"赢",M29*N29,"输",0,"走水",M29,"取消",M29,"半赢",M29*(1+(N29-1)/2),"半输",M29*0.5,""))</x:f>
      </x:c>
      <x:c r="S29" s="17" t="str">
        <x:f>IF(R29="","",R29-M29)</x:f>
      </x:c>
      <x:c r="T29" s="19" t="str">
        <x:f>IF(OR(M29="",S29=""),"",S29/M29)</x:f>
      </x:c>
      <x:c r="U29" s="17" t="str">
        <x:f>IF(S29="","",'参数'!$B$3+SUM($S$3:S29))</x:f>
      </x:c>
      <x:c r="V29" s="15"/>
      <x:c r="W29" s="15"/>
      <x:c r="X29" s="15"/>
    </x:row>
    <x:row r="30" ht="25.5" customHeight="1">
      <x:c r="A30" s="15" t="str">
        <x:f>IF(D30="","",ROW()-2)</x:f>
      </x:c>
      <x:c r="B30" s="16"/>
      <x:c r="C30" s="15"/>
      <x:c r="D30" s="15"/>
      <x:c r="E30" s="16"/>
      <x:c r="F30" s="15"/>
      <x:c r="G30" s="15"/>
      <x:c r="H30" s="15"/>
      <x:c r="I30" s="15"/>
      <x:c r="J30" s="15"/>
      <x:c r="K30" s="15"/>
      <x:c r="L30" s="17" t="str">
        <x:f>IF(M30="","",'参数'!$B$3+IF(ROW()=3,0,SUM($S$3:INDEX($S:$S,ROW()-1))))</x:f>
      </x:c>
      <x:c r="M30" s="17"/>
      <x:c r="N30" s="18"/>
      <x:c r="O30" s="19" t="str">
        <x:f>IF(OR(M30="",L30=""),"",M30/L30)</x:f>
      </x:c>
      <x:c r="P30" s="17" t="str">
        <x:f>IF(OR(M30="",N30=""),"",M30*N30)</x:f>
      </x:c>
      <x:c r="Q30" s="17"/>
      <x:c r="R30" s="17" t="str">
        <x:f>IF(OR(M30="",Q30="",Q30="未结算"),"",SWITCH(Q30,"赢",M30*N30,"输",0,"走水",M30,"取消",M30,"半赢",M30*(1+(N30-1)/2),"半输",M30*0.5,""))</x:f>
      </x:c>
      <x:c r="S30" s="17" t="str">
        <x:f>IF(R30="","",R30-M30)</x:f>
      </x:c>
      <x:c r="T30" s="19" t="str">
        <x:f>IF(OR(M30="",S30=""),"",S30/M30)</x:f>
      </x:c>
      <x:c r="U30" s="17" t="str">
        <x:f>IF(S30="","",'参数'!$B$3+SUM($S$3:S30))</x:f>
      </x:c>
      <x:c r="V30" s="15"/>
      <x:c r="W30" s="15"/>
      <x:c r="X30" s="15"/>
    </x:row>
    <x:row r="31" ht="25.5" customHeight="1">
      <x:c r="A31" s="15" t="str">
        <x:f>IF(D31="","",ROW()-2)</x:f>
      </x:c>
      <x:c r="B31" s="16"/>
      <x:c r="C31" s="15"/>
      <x:c r="D31" s="15"/>
      <x:c r="E31" s="16"/>
      <x:c r="F31" s="15"/>
      <x:c r="G31" s="15"/>
      <x:c r="H31" s="15"/>
      <x:c r="I31" s="15"/>
      <x:c r="J31" s="15"/>
      <x:c r="K31" s="15"/>
      <x:c r="L31" s="17" t="str">
        <x:f>IF(M31="","",'参数'!$B$3+IF(ROW()=3,0,SUM($S$3:INDEX($S:$S,ROW()-1))))</x:f>
      </x:c>
      <x:c r="M31" s="17"/>
      <x:c r="N31" s="18"/>
      <x:c r="O31" s="19" t="str">
        <x:f>IF(OR(M31="",L31=""),"",M31/L31)</x:f>
      </x:c>
      <x:c r="P31" s="17" t="str">
        <x:f>IF(OR(M31="",N31=""),"",M31*N31)</x:f>
      </x:c>
      <x:c r="Q31" s="17"/>
      <x:c r="R31" s="17" t="str">
        <x:f>IF(OR(M31="",Q31="",Q31="未结算"),"",SWITCH(Q31,"赢",M31*N31,"输",0,"走水",M31,"取消",M31,"半赢",M31*(1+(N31-1)/2),"半输",M31*0.5,""))</x:f>
      </x:c>
      <x:c r="S31" s="17" t="str">
        <x:f>IF(R31="","",R31-M31)</x:f>
      </x:c>
      <x:c r="T31" s="19" t="str">
        <x:f>IF(OR(M31="",S31=""),"",S31/M31)</x:f>
      </x:c>
      <x:c r="U31" s="17" t="str">
        <x:f>IF(S31="","",'参数'!$B$3+SUM($S$3:S31))</x:f>
      </x:c>
      <x:c r="V31" s="15"/>
      <x:c r="W31" s="15"/>
      <x:c r="X31" s="15"/>
    </x:row>
    <x:row r="32" ht="25.5" customHeight="1">
      <x:c r="A32" s="15" t="str">
        <x:f>IF(D32="","",ROW()-2)</x:f>
      </x:c>
      <x:c r="B32" s="16"/>
      <x:c r="C32" s="15"/>
      <x:c r="D32" s="15"/>
      <x:c r="E32" s="16"/>
      <x:c r="F32" s="15"/>
      <x:c r="G32" s="15"/>
      <x:c r="H32" s="15"/>
      <x:c r="I32" s="15"/>
      <x:c r="J32" s="15"/>
      <x:c r="K32" s="15"/>
      <x:c r="L32" s="17" t="str">
        <x:f>IF(M32="","",'参数'!$B$3+IF(ROW()=3,0,SUM($S$3:INDEX($S:$S,ROW()-1))))</x:f>
      </x:c>
      <x:c r="M32" s="17"/>
      <x:c r="N32" s="18"/>
      <x:c r="O32" s="19" t="str">
        <x:f>IF(OR(M32="",L32=""),"",M32/L32)</x:f>
      </x:c>
      <x:c r="P32" s="17" t="str">
        <x:f>IF(OR(M32="",N32=""),"",M32*N32)</x:f>
      </x:c>
      <x:c r="Q32" s="17"/>
      <x:c r="R32" s="17" t="str">
        <x:f>IF(OR(M32="",Q32="",Q32="未结算"),"",SWITCH(Q32,"赢",M32*N32,"输",0,"走水",M32,"取消",M32,"半赢",M32*(1+(N32-1)/2),"半输",M32*0.5,""))</x:f>
      </x:c>
      <x:c r="S32" s="17" t="str">
        <x:f>IF(R32="","",R32-M32)</x:f>
      </x:c>
      <x:c r="T32" s="19" t="str">
        <x:f>IF(OR(M32="",S32=""),"",S32/M32)</x:f>
      </x:c>
      <x:c r="U32" s="17" t="str">
        <x:f>IF(S32="","",'参数'!$B$3+SUM($S$3:S32))</x:f>
      </x:c>
      <x:c r="V32" s="15"/>
      <x:c r="W32" s="15"/>
      <x:c r="X32" s="15"/>
    </x:row>
    <x:row r="33" ht="25.5" customHeight="1">
      <x:c r="A33" s="15" t="str">
        <x:f>IF(D33="","",ROW()-2)</x:f>
      </x:c>
      <x:c r="B33" s="16"/>
      <x:c r="C33" s="15"/>
      <x:c r="D33" s="15"/>
      <x:c r="E33" s="16"/>
      <x:c r="F33" s="15"/>
      <x:c r="G33" s="15"/>
      <x:c r="H33" s="15"/>
      <x:c r="I33" s="15"/>
      <x:c r="J33" s="15"/>
      <x:c r="K33" s="15"/>
      <x:c r="L33" s="17" t="str">
        <x:f>IF(M33="","",'参数'!$B$3+IF(ROW()=3,0,SUM($S$3:INDEX($S:$S,ROW()-1))))</x:f>
      </x:c>
      <x:c r="M33" s="17"/>
      <x:c r="N33" s="18"/>
      <x:c r="O33" s="19" t="str">
        <x:f>IF(OR(M33="",L33=""),"",M33/L33)</x:f>
      </x:c>
      <x:c r="P33" s="17" t="str">
        <x:f>IF(OR(M33="",N33=""),"",M33*N33)</x:f>
      </x:c>
      <x:c r="Q33" s="17"/>
      <x:c r="R33" s="17" t="str">
        <x:f>IF(OR(M33="",Q33="",Q33="未结算"),"",SWITCH(Q33,"赢",M33*N33,"输",0,"走水",M33,"取消",M33,"半赢",M33*(1+(N33-1)/2),"半输",M33*0.5,""))</x:f>
      </x:c>
      <x:c r="S33" s="17" t="str">
        <x:f>IF(R33="","",R33-M33)</x:f>
      </x:c>
      <x:c r="T33" s="19" t="str">
        <x:f>IF(OR(M33="",S33=""),"",S33/M33)</x:f>
      </x:c>
      <x:c r="U33" s="17" t="str">
        <x:f>IF(S33="","",'参数'!$B$3+SUM($S$3:S33))</x:f>
      </x:c>
      <x:c r="V33" s="15"/>
      <x:c r="W33" s="15"/>
      <x:c r="X33" s="15"/>
    </x:row>
    <x:row r="34" ht="25.5" customHeight="1">
      <x:c r="A34" s="15" t="str">
        <x:f>IF(D34="","",ROW()-2)</x:f>
      </x:c>
      <x:c r="B34" s="16"/>
      <x:c r="C34" s="15"/>
      <x:c r="D34" s="15"/>
      <x:c r="E34" s="16"/>
      <x:c r="F34" s="15"/>
      <x:c r="G34" s="15"/>
      <x:c r="H34" s="15"/>
      <x:c r="I34" s="15"/>
      <x:c r="J34" s="15"/>
      <x:c r="K34" s="15"/>
      <x:c r="L34" s="17" t="str">
        <x:f>IF(M34="","",'参数'!$B$3+IF(ROW()=3,0,SUM($S$3:INDEX($S:$S,ROW()-1))))</x:f>
      </x:c>
      <x:c r="M34" s="17"/>
      <x:c r="N34" s="18"/>
      <x:c r="O34" s="19" t="str">
        <x:f>IF(OR(M34="",L34=""),"",M34/L34)</x:f>
      </x:c>
      <x:c r="P34" s="17" t="str">
        <x:f>IF(OR(M34="",N34=""),"",M34*N34)</x:f>
      </x:c>
      <x:c r="Q34" s="17"/>
      <x:c r="R34" s="17" t="str">
        <x:f>IF(OR(M34="",Q34="",Q34="未结算"),"",SWITCH(Q34,"赢",M34*N34,"输",0,"走水",M34,"取消",M34,"半赢",M34*(1+(N34-1)/2),"半输",M34*0.5,""))</x:f>
      </x:c>
      <x:c r="S34" s="17" t="str">
        <x:f>IF(R34="","",R34-M34)</x:f>
      </x:c>
      <x:c r="T34" s="19" t="str">
        <x:f>IF(OR(M34="",S34=""),"",S34/M34)</x:f>
      </x:c>
      <x:c r="U34" s="17" t="str">
        <x:f>IF(S34="","",'参数'!$B$3+SUM($S$3:S34))</x:f>
      </x:c>
      <x:c r="V34" s="15"/>
      <x:c r="W34" s="15"/>
      <x:c r="X34" s="15"/>
    </x:row>
    <x:row r="35" ht="25.5" customHeight="1">
      <x:c r="A35" s="15" t="str">
        <x:f>IF(D35="","",ROW()-2)</x:f>
      </x:c>
      <x:c r="B35" s="16"/>
      <x:c r="C35" s="15"/>
      <x:c r="D35" s="15"/>
      <x:c r="E35" s="16"/>
      <x:c r="F35" s="15"/>
      <x:c r="G35" s="15"/>
      <x:c r="H35" s="15"/>
      <x:c r="I35" s="15"/>
      <x:c r="J35" s="15"/>
      <x:c r="K35" s="15"/>
      <x:c r="L35" s="17" t="str">
        <x:f>IF(M35="","",'参数'!$B$3+IF(ROW()=3,0,SUM($S$3:INDEX($S:$S,ROW()-1))))</x:f>
      </x:c>
      <x:c r="M35" s="17"/>
      <x:c r="N35" s="18"/>
      <x:c r="O35" s="19" t="str">
        <x:f>IF(OR(M35="",L35=""),"",M35/L35)</x:f>
      </x:c>
      <x:c r="P35" s="17" t="str">
        <x:f>IF(OR(M35="",N35=""),"",M35*N35)</x:f>
      </x:c>
      <x:c r="Q35" s="17"/>
      <x:c r="R35" s="17" t="str">
        <x:f>IF(OR(M35="",Q35="",Q35="未结算"),"",SWITCH(Q35,"赢",M35*N35,"输",0,"走水",M35,"取消",M35,"半赢",M35*(1+(N35-1)/2),"半输",M35*0.5,""))</x:f>
      </x:c>
      <x:c r="S35" s="17" t="str">
        <x:f>IF(R35="","",R35-M35)</x:f>
      </x:c>
      <x:c r="T35" s="19" t="str">
        <x:f>IF(OR(M35="",S35=""),"",S35/M35)</x:f>
      </x:c>
      <x:c r="U35" s="17" t="str">
        <x:f>IF(S35="","",'参数'!$B$3+SUM($S$3:S35))</x:f>
      </x:c>
      <x:c r="V35" s="15"/>
      <x:c r="W35" s="15"/>
      <x:c r="X35" s="15"/>
    </x:row>
    <x:row r="36" ht="25.5" customHeight="1">
      <x:c r="A36" s="15" t="str">
        <x:f>IF(D36="","",ROW()-2)</x:f>
      </x:c>
      <x:c r="B36" s="16"/>
      <x:c r="C36" s="15"/>
      <x:c r="D36" s="15"/>
      <x:c r="E36" s="16"/>
      <x:c r="F36" s="15"/>
      <x:c r="G36" s="15"/>
      <x:c r="H36" s="15"/>
      <x:c r="I36" s="15"/>
      <x:c r="J36" s="15"/>
      <x:c r="K36" s="15"/>
      <x:c r="L36" s="17" t="str">
        <x:f>IF(M36="","",'参数'!$B$3+IF(ROW()=3,0,SUM($S$3:INDEX($S:$S,ROW()-1))))</x:f>
      </x:c>
      <x:c r="M36" s="17"/>
      <x:c r="N36" s="18"/>
      <x:c r="O36" s="19" t="str">
        <x:f>IF(OR(M36="",L36=""),"",M36/L36)</x:f>
      </x:c>
      <x:c r="P36" s="17" t="str">
        <x:f>IF(OR(M36="",N36=""),"",M36*N36)</x:f>
      </x:c>
      <x:c r="Q36" s="17"/>
      <x:c r="R36" s="17" t="str">
        <x:f>IF(OR(M36="",Q36="",Q36="未结算"),"",SWITCH(Q36,"赢",M36*N36,"输",0,"走水",M36,"取消",M36,"半赢",M36*(1+(N36-1)/2),"半输",M36*0.5,""))</x:f>
      </x:c>
      <x:c r="S36" s="17" t="str">
        <x:f>IF(R36="","",R36-M36)</x:f>
      </x:c>
      <x:c r="T36" s="19" t="str">
        <x:f>IF(OR(M36="",S36=""),"",S36/M36)</x:f>
      </x:c>
      <x:c r="U36" s="17" t="str">
        <x:f>IF(S36="","",'参数'!$B$3+SUM($S$3:S36))</x:f>
      </x:c>
      <x:c r="V36" s="15"/>
      <x:c r="W36" s="15"/>
      <x:c r="X36" s="15"/>
    </x:row>
    <x:row r="37" ht="25.5" customHeight="1">
      <x:c r="A37" s="15" t="str">
        <x:f>IF(D37="","",ROW()-2)</x:f>
      </x:c>
      <x:c r="B37" s="16"/>
      <x:c r="C37" s="15"/>
      <x:c r="D37" s="15"/>
      <x:c r="E37" s="16"/>
      <x:c r="F37" s="15"/>
      <x:c r="G37" s="15"/>
      <x:c r="H37" s="15"/>
      <x:c r="I37" s="15"/>
      <x:c r="J37" s="15"/>
      <x:c r="K37" s="15"/>
      <x:c r="L37" s="17" t="str">
        <x:f>IF(M37="","",'参数'!$B$3+IF(ROW()=3,0,SUM($S$3:INDEX($S:$S,ROW()-1))))</x:f>
      </x:c>
      <x:c r="M37" s="17"/>
      <x:c r="N37" s="18"/>
      <x:c r="O37" s="19" t="str">
        <x:f>IF(OR(M37="",L37=""),"",M37/L37)</x:f>
      </x:c>
      <x:c r="P37" s="17" t="str">
        <x:f>IF(OR(M37="",N37=""),"",M37*N37)</x:f>
      </x:c>
      <x:c r="Q37" s="17"/>
      <x:c r="R37" s="17" t="str">
        <x:f>IF(OR(M37="",Q37="",Q37="未结算"),"",SWITCH(Q37,"赢",M37*N37,"输",0,"走水",M37,"取消",M37,"半赢",M37*(1+(N37-1)/2),"半输",M37*0.5,""))</x:f>
      </x:c>
      <x:c r="S37" s="17" t="str">
        <x:f>IF(R37="","",R37-M37)</x:f>
      </x:c>
      <x:c r="T37" s="19" t="str">
        <x:f>IF(OR(M37="",S37=""),"",S37/M37)</x:f>
      </x:c>
      <x:c r="U37" s="17" t="str">
        <x:f>IF(S37="","",'参数'!$B$3+SUM($S$3:S37))</x:f>
      </x:c>
      <x:c r="V37" s="15"/>
      <x:c r="W37" s="15"/>
      <x:c r="X37" s="15"/>
    </x:row>
    <x:row r="38" ht="25.5" customHeight="1">
      <x:c r="A38" s="15" t="str">
        <x:f>IF(D38="","",ROW()-2)</x:f>
      </x:c>
      <x:c r="B38" s="16"/>
      <x:c r="C38" s="15"/>
      <x:c r="D38" s="15"/>
      <x:c r="E38" s="16"/>
      <x:c r="F38" s="15"/>
      <x:c r="G38" s="15"/>
      <x:c r="H38" s="15"/>
      <x:c r="I38" s="15"/>
      <x:c r="J38" s="15"/>
      <x:c r="K38" s="15"/>
      <x:c r="L38" s="17" t="str">
        <x:f>IF(M38="","",'参数'!$B$3+IF(ROW()=3,0,SUM($S$3:INDEX($S:$S,ROW()-1))))</x:f>
      </x:c>
      <x:c r="M38" s="17"/>
      <x:c r="N38" s="18"/>
      <x:c r="O38" s="19" t="str">
        <x:f>IF(OR(M38="",L38=""),"",M38/L38)</x:f>
      </x:c>
      <x:c r="P38" s="17" t="str">
        <x:f>IF(OR(M38="",N38=""),"",M38*N38)</x:f>
      </x:c>
      <x:c r="Q38" s="17"/>
      <x:c r="R38" s="17" t="str">
        <x:f>IF(OR(M38="",Q38="",Q38="未结算"),"",SWITCH(Q38,"赢",M38*N38,"输",0,"走水",M38,"取消",M38,"半赢",M38*(1+(N38-1)/2),"半输",M38*0.5,""))</x:f>
      </x:c>
      <x:c r="S38" s="17" t="str">
        <x:f>IF(R38="","",R38-M38)</x:f>
      </x:c>
      <x:c r="T38" s="19" t="str">
        <x:f>IF(OR(M38="",S38=""),"",S38/M38)</x:f>
      </x:c>
      <x:c r="U38" s="17" t="str">
        <x:f>IF(S38="","",'参数'!$B$3+SUM($S$3:S38))</x:f>
      </x:c>
      <x:c r="V38" s="15"/>
      <x:c r="W38" s="15"/>
      <x:c r="X38" s="15"/>
    </x:row>
    <x:row r="39" ht="25.5" customHeight="1">
      <x:c r="A39" s="15" t="str">
        <x:f>IF(D39="","",ROW()-2)</x:f>
      </x:c>
      <x:c r="B39" s="16"/>
      <x:c r="C39" s="15"/>
      <x:c r="D39" s="15"/>
      <x:c r="E39" s="16"/>
      <x:c r="F39" s="15"/>
      <x:c r="G39" s="15"/>
      <x:c r="H39" s="15"/>
      <x:c r="I39" s="15"/>
      <x:c r="J39" s="15"/>
      <x:c r="K39" s="15"/>
      <x:c r="L39" s="17" t="str">
        <x:f>IF(M39="","",'参数'!$B$3+IF(ROW()=3,0,SUM($S$3:INDEX($S:$S,ROW()-1))))</x:f>
      </x:c>
      <x:c r="M39" s="17"/>
      <x:c r="N39" s="18"/>
      <x:c r="O39" s="19" t="str">
        <x:f>IF(OR(M39="",L39=""),"",M39/L39)</x:f>
      </x:c>
      <x:c r="P39" s="17" t="str">
        <x:f>IF(OR(M39="",N39=""),"",M39*N39)</x:f>
      </x:c>
      <x:c r="Q39" s="17"/>
      <x:c r="R39" s="17" t="str">
        <x:f>IF(OR(M39="",Q39="",Q39="未结算"),"",SWITCH(Q39,"赢",M39*N39,"输",0,"走水",M39,"取消",M39,"半赢",M39*(1+(N39-1)/2),"半输",M39*0.5,""))</x:f>
      </x:c>
      <x:c r="S39" s="17" t="str">
        <x:f>IF(R39="","",R39-M39)</x:f>
      </x:c>
      <x:c r="T39" s="19" t="str">
        <x:f>IF(OR(M39="",S39=""),"",S39/M39)</x:f>
      </x:c>
      <x:c r="U39" s="17" t="str">
        <x:f>IF(S39="","",'参数'!$B$3+SUM($S$3:S39))</x:f>
      </x:c>
      <x:c r="V39" s="15"/>
      <x:c r="W39" s="15"/>
      <x:c r="X39" s="15"/>
    </x:row>
    <x:row r="40" ht="25.5" customHeight="1">
      <x:c r="A40" s="15" t="str">
        <x:f>IF(D40="","",ROW()-2)</x:f>
      </x:c>
      <x:c r="B40" s="16"/>
      <x:c r="C40" s="15"/>
      <x:c r="D40" s="15"/>
      <x:c r="E40" s="16"/>
      <x:c r="F40" s="15"/>
      <x:c r="G40" s="15"/>
      <x:c r="H40" s="15"/>
      <x:c r="I40" s="15"/>
      <x:c r="J40" s="15"/>
      <x:c r="K40" s="15"/>
      <x:c r="L40" s="17" t="str">
        <x:f>IF(M40="","",'参数'!$B$3+IF(ROW()=3,0,SUM($S$3:INDEX($S:$S,ROW()-1))))</x:f>
      </x:c>
      <x:c r="M40" s="17"/>
      <x:c r="N40" s="18"/>
      <x:c r="O40" s="19" t="str">
        <x:f>IF(OR(M40="",L40=""),"",M40/L40)</x:f>
      </x:c>
      <x:c r="P40" s="17" t="str">
        <x:f>IF(OR(M40="",N40=""),"",M40*N40)</x:f>
      </x:c>
      <x:c r="Q40" s="17"/>
      <x:c r="R40" s="17" t="str">
        <x:f>IF(OR(M40="",Q40="",Q40="未结算"),"",SWITCH(Q40,"赢",M40*N40,"输",0,"走水",M40,"取消",M40,"半赢",M40*(1+(N40-1)/2),"半输",M40*0.5,""))</x:f>
      </x:c>
      <x:c r="S40" s="17" t="str">
        <x:f>IF(R40="","",R40-M40)</x:f>
      </x:c>
      <x:c r="T40" s="19" t="str">
        <x:f>IF(OR(M40="",S40=""),"",S40/M40)</x:f>
      </x:c>
      <x:c r="U40" s="17" t="str">
        <x:f>IF(S40="","",'参数'!$B$3+SUM($S$3:S40))</x:f>
      </x:c>
      <x:c r="V40" s="15"/>
      <x:c r="W40" s="15"/>
      <x:c r="X40" s="15"/>
    </x:row>
    <x:row r="41" ht="25.5" customHeight="1">
      <x:c r="A41" s="15" t="str">
        <x:f>IF(D41="","",ROW()-2)</x:f>
      </x:c>
      <x:c r="B41" s="16"/>
      <x:c r="C41" s="15"/>
      <x:c r="D41" s="15"/>
      <x:c r="E41" s="16"/>
      <x:c r="F41" s="15"/>
      <x:c r="G41" s="15"/>
      <x:c r="H41" s="15"/>
      <x:c r="I41" s="15"/>
      <x:c r="J41" s="15"/>
      <x:c r="K41" s="15"/>
      <x:c r="L41" s="17" t="str">
        <x:f>IF(M41="","",'参数'!$B$3+IF(ROW()=3,0,SUM($S$3:INDEX($S:$S,ROW()-1))))</x:f>
      </x:c>
      <x:c r="M41" s="17"/>
      <x:c r="N41" s="18"/>
      <x:c r="O41" s="19" t="str">
        <x:f>IF(OR(M41="",L41=""),"",M41/L41)</x:f>
      </x:c>
      <x:c r="P41" s="17" t="str">
        <x:f>IF(OR(M41="",N41=""),"",M41*N41)</x:f>
      </x:c>
      <x:c r="Q41" s="17"/>
      <x:c r="R41" s="17" t="str">
        <x:f>IF(OR(M41="",Q41="",Q41="未结算"),"",SWITCH(Q41,"赢",M41*N41,"输",0,"走水",M41,"取消",M41,"半赢",M41*(1+(N41-1)/2),"半输",M41*0.5,""))</x:f>
      </x:c>
      <x:c r="S41" s="17" t="str">
        <x:f>IF(R41="","",R41-M41)</x:f>
      </x:c>
      <x:c r="T41" s="19" t="str">
        <x:f>IF(OR(M41="",S41=""),"",S41/M41)</x:f>
      </x:c>
      <x:c r="U41" s="17" t="str">
        <x:f>IF(S41="","",'参数'!$B$3+SUM($S$3:S41))</x:f>
      </x:c>
      <x:c r="V41" s="15"/>
      <x:c r="W41" s="15"/>
      <x:c r="X41" s="15"/>
    </x:row>
    <x:row r="42" ht="25.5" customHeight="1">
      <x:c r="A42" s="15" t="str">
        <x:f>IF(D42="","",ROW()-2)</x:f>
      </x:c>
      <x:c r="B42" s="16"/>
      <x:c r="C42" s="15"/>
      <x:c r="D42" s="15"/>
      <x:c r="E42" s="16"/>
      <x:c r="F42" s="15"/>
      <x:c r="G42" s="15"/>
      <x:c r="H42" s="15"/>
      <x:c r="I42" s="15"/>
      <x:c r="J42" s="15"/>
      <x:c r="K42" s="15"/>
      <x:c r="L42" s="17" t="str">
        <x:f>IF(M42="","",'参数'!$B$3+IF(ROW()=3,0,SUM($S$3:INDEX($S:$S,ROW()-1))))</x:f>
      </x:c>
      <x:c r="M42" s="17"/>
      <x:c r="N42" s="18"/>
      <x:c r="O42" s="19" t="str">
        <x:f>IF(OR(M42="",L42=""),"",M42/L42)</x:f>
      </x:c>
      <x:c r="P42" s="17" t="str">
        <x:f>IF(OR(M42="",N42=""),"",M42*N42)</x:f>
      </x:c>
      <x:c r="Q42" s="17"/>
      <x:c r="R42" s="17" t="str">
        <x:f>IF(OR(M42="",Q42="",Q42="未结算"),"",SWITCH(Q42,"赢",M42*N42,"输",0,"走水",M42,"取消",M42,"半赢",M42*(1+(N42-1)/2),"半输",M42*0.5,""))</x:f>
      </x:c>
      <x:c r="S42" s="17" t="str">
        <x:f>IF(R42="","",R42-M42)</x:f>
      </x:c>
      <x:c r="T42" s="19" t="str">
        <x:f>IF(OR(M42="",S42=""),"",S42/M42)</x:f>
      </x:c>
      <x:c r="U42" s="17" t="str">
        <x:f>IF(S42="","",'参数'!$B$3+SUM($S$3:S42))</x:f>
      </x:c>
      <x:c r="V42" s="15"/>
      <x:c r="W42" s="15"/>
      <x:c r="X42" s="15"/>
    </x:row>
    <x:row r="43" ht="25.5" customHeight="1">
      <x:c r="A43" s="15" t="str">
        <x:f>IF(D43="","",ROW()-2)</x:f>
      </x:c>
      <x:c r="B43" s="16"/>
      <x:c r="C43" s="15"/>
      <x:c r="D43" s="15"/>
      <x:c r="E43" s="16"/>
      <x:c r="F43" s="15"/>
      <x:c r="G43" s="15"/>
      <x:c r="H43" s="15"/>
      <x:c r="I43" s="15"/>
      <x:c r="J43" s="15"/>
      <x:c r="K43" s="15"/>
      <x:c r="L43" s="17" t="str">
        <x:f>IF(M43="","",'参数'!$B$3+IF(ROW()=3,0,SUM($S$3:INDEX($S:$S,ROW()-1))))</x:f>
      </x:c>
      <x:c r="M43" s="17"/>
      <x:c r="N43" s="18"/>
      <x:c r="O43" s="19" t="str">
        <x:f>IF(OR(M43="",L43=""),"",M43/L43)</x:f>
      </x:c>
      <x:c r="P43" s="17" t="str">
        <x:f>IF(OR(M43="",N43=""),"",M43*N43)</x:f>
      </x:c>
      <x:c r="Q43" s="17"/>
      <x:c r="R43" s="17" t="str">
        <x:f>IF(OR(M43="",Q43="",Q43="未结算"),"",SWITCH(Q43,"赢",M43*N43,"输",0,"走水",M43,"取消",M43,"半赢",M43*(1+(N43-1)/2),"半输",M43*0.5,""))</x:f>
      </x:c>
      <x:c r="S43" s="17" t="str">
        <x:f>IF(R43="","",R43-M43)</x:f>
      </x:c>
      <x:c r="T43" s="19" t="str">
        <x:f>IF(OR(M43="",S43=""),"",S43/M43)</x:f>
      </x:c>
      <x:c r="U43" s="17" t="str">
        <x:f>IF(S43="","",'参数'!$B$3+SUM($S$3:S43))</x:f>
      </x:c>
      <x:c r="V43" s="15"/>
      <x:c r="W43" s="15"/>
      <x:c r="X43" s="15"/>
    </x:row>
    <x:row r="44" ht="25.5" customHeight="1">
      <x:c r="A44" s="15" t="str">
        <x:f>IF(D44="","",ROW()-2)</x:f>
      </x:c>
      <x:c r="B44" s="16"/>
      <x:c r="C44" s="15"/>
      <x:c r="D44" s="15"/>
      <x:c r="E44" s="16"/>
      <x:c r="F44" s="15"/>
      <x:c r="G44" s="15"/>
      <x:c r="H44" s="15"/>
      <x:c r="I44" s="15"/>
      <x:c r="J44" s="15"/>
      <x:c r="K44" s="15"/>
      <x:c r="L44" s="17" t="str">
        <x:f>IF(M44="","",'参数'!$B$3+IF(ROW()=3,0,SUM($S$3:INDEX($S:$S,ROW()-1))))</x:f>
      </x:c>
      <x:c r="M44" s="17"/>
      <x:c r="N44" s="18"/>
      <x:c r="O44" s="19" t="str">
        <x:f>IF(OR(M44="",L44=""),"",M44/L44)</x:f>
      </x:c>
      <x:c r="P44" s="17" t="str">
        <x:f>IF(OR(M44="",N44=""),"",M44*N44)</x:f>
      </x:c>
      <x:c r="Q44" s="17"/>
      <x:c r="R44" s="17" t="str">
        <x:f>IF(OR(M44="",Q44="",Q44="未结算"),"",SWITCH(Q44,"赢",M44*N44,"输",0,"走水",M44,"取消",M44,"半赢",M44*(1+(N44-1)/2),"半输",M44*0.5,""))</x:f>
      </x:c>
      <x:c r="S44" s="17" t="str">
        <x:f>IF(R44="","",R44-M44)</x:f>
      </x:c>
      <x:c r="T44" s="19" t="str">
        <x:f>IF(OR(M44="",S44=""),"",S44/M44)</x:f>
      </x:c>
      <x:c r="U44" s="17" t="str">
        <x:f>IF(S44="","",'参数'!$B$3+SUM($S$3:S44))</x:f>
      </x:c>
      <x:c r="V44" s="15"/>
      <x:c r="W44" s="15"/>
      <x:c r="X44" s="15"/>
    </x:row>
    <x:row r="45" ht="25.5" customHeight="1">
      <x:c r="A45" s="15" t="str">
        <x:f>IF(D45="","",ROW()-2)</x:f>
      </x:c>
      <x:c r="B45" s="16"/>
      <x:c r="C45" s="15"/>
      <x:c r="D45" s="15"/>
      <x:c r="E45" s="16"/>
      <x:c r="F45" s="15"/>
      <x:c r="G45" s="15"/>
      <x:c r="H45" s="15"/>
      <x:c r="I45" s="15"/>
      <x:c r="J45" s="15"/>
      <x:c r="K45" s="15"/>
      <x:c r="L45" s="17" t="str">
        <x:f>IF(M45="","",'参数'!$B$3+IF(ROW()=3,0,SUM($S$3:INDEX($S:$S,ROW()-1))))</x:f>
      </x:c>
      <x:c r="M45" s="17"/>
      <x:c r="N45" s="18"/>
      <x:c r="O45" s="19" t="str">
        <x:f>IF(OR(M45="",L45=""),"",M45/L45)</x:f>
      </x:c>
      <x:c r="P45" s="17" t="str">
        <x:f>IF(OR(M45="",N45=""),"",M45*N45)</x:f>
      </x:c>
      <x:c r="Q45" s="17"/>
      <x:c r="R45" s="17" t="str">
        <x:f>IF(OR(M45="",Q45="",Q45="未结算"),"",SWITCH(Q45,"赢",M45*N45,"输",0,"走水",M45,"取消",M45,"半赢",M45*(1+(N45-1)/2),"半输",M45*0.5,""))</x:f>
      </x:c>
      <x:c r="S45" s="17" t="str">
        <x:f>IF(R45="","",R45-M45)</x:f>
      </x:c>
      <x:c r="T45" s="19" t="str">
        <x:f>IF(OR(M45="",S45=""),"",S45/M45)</x:f>
      </x:c>
      <x:c r="U45" s="17" t="str">
        <x:f>IF(S45="","",'参数'!$B$3+SUM($S$3:S45))</x:f>
      </x:c>
      <x:c r="V45" s="15"/>
      <x:c r="W45" s="15"/>
      <x:c r="X45" s="15"/>
    </x:row>
    <x:row r="46" ht="25.5" customHeight="1">
      <x:c r="A46" s="15" t="str">
        <x:f>IF(D46="","",ROW()-2)</x:f>
      </x:c>
      <x:c r="B46" s="16"/>
      <x:c r="C46" s="15"/>
      <x:c r="D46" s="15"/>
      <x:c r="E46" s="16"/>
      <x:c r="F46" s="15"/>
      <x:c r="G46" s="15"/>
      <x:c r="H46" s="15"/>
      <x:c r="I46" s="15"/>
      <x:c r="J46" s="15"/>
      <x:c r="K46" s="15"/>
      <x:c r="L46" s="17" t="str">
        <x:f>IF(M46="","",'参数'!$B$3+IF(ROW()=3,0,SUM($S$3:INDEX($S:$S,ROW()-1))))</x:f>
      </x:c>
      <x:c r="M46" s="17"/>
      <x:c r="N46" s="18"/>
      <x:c r="O46" s="19" t="str">
        <x:f>IF(OR(M46="",L46=""),"",M46/L46)</x:f>
      </x:c>
      <x:c r="P46" s="17" t="str">
        <x:f>IF(OR(M46="",N46=""),"",M46*N46)</x:f>
      </x:c>
      <x:c r="Q46" s="17"/>
      <x:c r="R46" s="17" t="str">
        <x:f>IF(OR(M46="",Q46="",Q46="未结算"),"",SWITCH(Q46,"赢",M46*N46,"输",0,"走水",M46,"取消",M46,"半赢",M46*(1+(N46-1)/2),"半输",M46*0.5,""))</x:f>
      </x:c>
      <x:c r="S46" s="17" t="str">
        <x:f>IF(R46="","",R46-M46)</x:f>
      </x:c>
      <x:c r="T46" s="19" t="str">
        <x:f>IF(OR(M46="",S46=""),"",S46/M46)</x:f>
      </x:c>
      <x:c r="U46" s="17" t="str">
        <x:f>IF(S46="","",'参数'!$B$3+SUM($S$3:S46))</x:f>
      </x:c>
      <x:c r="V46" s="15"/>
      <x:c r="W46" s="15"/>
      <x:c r="X46" s="15"/>
    </x:row>
    <x:row r="47" ht="25.5" customHeight="1">
      <x:c r="A47" s="15" t="str">
        <x:f>IF(D47="","",ROW()-2)</x:f>
      </x:c>
      <x:c r="B47" s="16"/>
      <x:c r="C47" s="15"/>
      <x:c r="D47" s="15"/>
      <x:c r="E47" s="16"/>
      <x:c r="F47" s="15"/>
      <x:c r="G47" s="15"/>
      <x:c r="H47" s="15"/>
      <x:c r="I47" s="15"/>
      <x:c r="J47" s="15"/>
      <x:c r="K47" s="15"/>
      <x:c r="L47" s="17" t="str">
        <x:f>IF(M47="","",'参数'!$B$3+IF(ROW()=3,0,SUM($S$3:INDEX($S:$S,ROW()-1))))</x:f>
      </x:c>
      <x:c r="M47" s="17"/>
      <x:c r="N47" s="18"/>
      <x:c r="O47" s="19" t="str">
        <x:f>IF(OR(M47="",L47=""),"",M47/L47)</x:f>
      </x:c>
      <x:c r="P47" s="17" t="str">
        <x:f>IF(OR(M47="",N47=""),"",M47*N47)</x:f>
      </x:c>
      <x:c r="Q47" s="17"/>
      <x:c r="R47" s="17" t="str">
        <x:f>IF(OR(M47="",Q47="",Q47="未结算"),"",SWITCH(Q47,"赢",M47*N47,"输",0,"走水",M47,"取消",M47,"半赢",M47*(1+(N47-1)/2),"半输",M47*0.5,""))</x:f>
      </x:c>
      <x:c r="S47" s="17" t="str">
        <x:f>IF(R47="","",R47-M47)</x:f>
      </x:c>
      <x:c r="T47" s="19" t="str">
        <x:f>IF(OR(M47="",S47=""),"",S47/M47)</x:f>
      </x:c>
      <x:c r="U47" s="17" t="str">
        <x:f>IF(S47="","",'参数'!$B$3+SUM($S$3:S47))</x:f>
      </x:c>
      <x:c r="V47" s="15"/>
      <x:c r="W47" s="15"/>
      <x:c r="X47" s="15"/>
    </x:row>
    <x:row r="48" ht="25.5" customHeight="1">
      <x:c r="A48" s="15" t="str">
        <x:f>IF(D48="","",ROW()-2)</x:f>
      </x:c>
      <x:c r="B48" s="16"/>
      <x:c r="C48" s="15"/>
      <x:c r="D48" s="15"/>
      <x:c r="E48" s="16"/>
      <x:c r="F48" s="15"/>
      <x:c r="G48" s="15"/>
      <x:c r="H48" s="15"/>
      <x:c r="I48" s="15"/>
      <x:c r="J48" s="15"/>
      <x:c r="K48" s="15"/>
      <x:c r="L48" s="17" t="str">
        <x:f>IF(M48="","",'参数'!$B$3+IF(ROW()=3,0,SUM($S$3:INDEX($S:$S,ROW()-1))))</x:f>
      </x:c>
      <x:c r="M48" s="17"/>
      <x:c r="N48" s="18"/>
      <x:c r="O48" s="19" t="str">
        <x:f>IF(OR(M48="",L48=""),"",M48/L48)</x:f>
      </x:c>
      <x:c r="P48" s="17" t="str">
        <x:f>IF(OR(M48="",N48=""),"",M48*N48)</x:f>
      </x:c>
      <x:c r="Q48" s="17"/>
      <x:c r="R48" s="17" t="str">
        <x:f>IF(OR(M48="",Q48="",Q48="未结算"),"",SWITCH(Q48,"赢",M48*N48,"输",0,"走水",M48,"取消",M48,"半赢",M48*(1+(N48-1)/2),"半输",M48*0.5,""))</x:f>
      </x:c>
      <x:c r="S48" s="17" t="str">
        <x:f>IF(R48="","",R48-M48)</x:f>
      </x:c>
      <x:c r="T48" s="19" t="str">
        <x:f>IF(OR(M48="",S48=""),"",S48/M48)</x:f>
      </x:c>
      <x:c r="U48" s="17" t="str">
        <x:f>IF(S48="","",'参数'!$B$3+SUM($S$3:S48))</x:f>
      </x:c>
      <x:c r="V48" s="15"/>
      <x:c r="W48" s="15"/>
      <x:c r="X48" s="15"/>
    </x:row>
    <x:row r="49" ht="25.5" customHeight="1">
      <x:c r="A49" s="15" t="str">
        <x:f>IF(D49="","",ROW()-2)</x:f>
      </x:c>
      <x:c r="B49" s="16"/>
      <x:c r="C49" s="15"/>
      <x:c r="D49" s="15"/>
      <x:c r="E49" s="16"/>
      <x:c r="F49" s="15"/>
      <x:c r="G49" s="15"/>
      <x:c r="H49" s="15"/>
      <x:c r="I49" s="15"/>
      <x:c r="J49" s="15"/>
      <x:c r="K49" s="15"/>
      <x:c r="L49" s="17" t="str">
        <x:f>IF(M49="","",'参数'!$B$3+IF(ROW()=3,0,SUM($S$3:INDEX($S:$S,ROW()-1))))</x:f>
      </x:c>
      <x:c r="M49" s="17"/>
      <x:c r="N49" s="18"/>
      <x:c r="O49" s="19" t="str">
        <x:f>IF(OR(M49="",L49=""),"",M49/L49)</x:f>
      </x:c>
      <x:c r="P49" s="17" t="str">
        <x:f>IF(OR(M49="",N49=""),"",M49*N49)</x:f>
      </x:c>
      <x:c r="Q49" s="17"/>
      <x:c r="R49" s="17" t="str">
        <x:f>IF(OR(M49="",Q49="",Q49="未结算"),"",SWITCH(Q49,"赢",M49*N49,"输",0,"走水",M49,"取消",M49,"半赢",M49*(1+(N49-1)/2),"半输",M49*0.5,""))</x:f>
      </x:c>
      <x:c r="S49" s="17" t="str">
        <x:f>IF(R49="","",R49-M49)</x:f>
      </x:c>
      <x:c r="T49" s="19" t="str">
        <x:f>IF(OR(M49="",S49=""),"",S49/M49)</x:f>
      </x:c>
      <x:c r="U49" s="17" t="str">
        <x:f>IF(S49="","",'参数'!$B$3+SUM($S$3:S49))</x:f>
      </x:c>
      <x:c r="V49" s="15"/>
      <x:c r="W49" s="15"/>
      <x:c r="X49" s="15"/>
    </x:row>
    <x:row r="50" ht="25.5" customHeight="1">
      <x:c r="A50" s="15" t="str">
        <x:f>IF(D50="","",ROW()-2)</x:f>
      </x:c>
      <x:c r="B50" s="16"/>
      <x:c r="C50" s="15"/>
      <x:c r="D50" s="15"/>
      <x:c r="E50" s="16"/>
      <x:c r="F50" s="15"/>
      <x:c r="G50" s="15"/>
      <x:c r="H50" s="15"/>
      <x:c r="I50" s="15"/>
      <x:c r="J50" s="15"/>
      <x:c r="K50" s="15"/>
      <x:c r="L50" s="17" t="str">
        <x:f>IF(M50="","",'参数'!$B$3+IF(ROW()=3,0,SUM($S$3:INDEX($S:$S,ROW()-1))))</x:f>
      </x:c>
      <x:c r="M50" s="17"/>
      <x:c r="N50" s="18"/>
      <x:c r="O50" s="19" t="str">
        <x:f>IF(OR(M50="",L50=""),"",M50/L50)</x:f>
      </x:c>
      <x:c r="P50" s="17" t="str">
        <x:f>IF(OR(M50="",N50=""),"",M50*N50)</x:f>
      </x:c>
      <x:c r="Q50" s="17"/>
      <x:c r="R50" s="17" t="str">
        <x:f>IF(OR(M50="",Q50="",Q50="未结算"),"",SWITCH(Q50,"赢",M50*N50,"输",0,"走水",M50,"取消",M50,"半赢",M50*(1+(N50-1)/2),"半输",M50*0.5,""))</x:f>
      </x:c>
      <x:c r="S50" s="17" t="str">
        <x:f>IF(R50="","",R50-M50)</x:f>
      </x:c>
      <x:c r="T50" s="19" t="str">
        <x:f>IF(OR(M50="",S50=""),"",S50/M50)</x:f>
      </x:c>
      <x:c r="U50" s="17" t="str">
        <x:f>IF(S50="","",'参数'!$B$3+SUM($S$3:S50))</x:f>
      </x:c>
      <x:c r="V50" s="15"/>
      <x:c r="W50" s="15"/>
      <x:c r="X50" s="15"/>
    </x:row>
    <x:row r="51" ht="25.5" customHeight="1">
      <x:c r="A51" s="15" t="str">
        <x:f>IF(D51="","",ROW()-2)</x:f>
      </x:c>
      <x:c r="B51" s="16"/>
      <x:c r="C51" s="15"/>
      <x:c r="D51" s="15"/>
      <x:c r="E51" s="16"/>
      <x:c r="F51" s="15"/>
      <x:c r="G51" s="15"/>
      <x:c r="H51" s="15"/>
      <x:c r="I51" s="15"/>
      <x:c r="J51" s="15"/>
      <x:c r="K51" s="15"/>
      <x:c r="L51" s="17" t="str">
        <x:f>IF(M51="","",'参数'!$B$3+IF(ROW()=3,0,SUM($S$3:INDEX($S:$S,ROW()-1))))</x:f>
      </x:c>
      <x:c r="M51" s="17"/>
      <x:c r="N51" s="18"/>
      <x:c r="O51" s="19" t="str">
        <x:f>IF(OR(M51="",L51=""),"",M51/L51)</x:f>
      </x:c>
      <x:c r="P51" s="17" t="str">
        <x:f>IF(OR(M51="",N51=""),"",M51*N51)</x:f>
      </x:c>
      <x:c r="Q51" s="17"/>
      <x:c r="R51" s="17" t="str">
        <x:f>IF(OR(M51="",Q51="",Q51="未结算"),"",SWITCH(Q51,"赢",M51*N51,"输",0,"走水",M51,"取消",M51,"半赢",M51*(1+(N51-1)/2),"半输",M51*0.5,""))</x:f>
      </x:c>
      <x:c r="S51" s="17" t="str">
        <x:f>IF(R51="","",R51-M51)</x:f>
      </x:c>
      <x:c r="T51" s="19" t="str">
        <x:f>IF(OR(M51="",S51=""),"",S51/M51)</x:f>
      </x:c>
      <x:c r="U51" s="17" t="str">
        <x:f>IF(S51="","",'参数'!$B$3+SUM($S$3:S51))</x:f>
      </x:c>
      <x:c r="V51" s="15"/>
      <x:c r="W51" s="15"/>
      <x:c r="X51" s="15"/>
    </x:row>
    <x:row r="52" ht="25.5" customHeight="1">
      <x:c r="A52" s="15" t="str">
        <x:f>IF(D52="","",ROW()-2)</x:f>
      </x:c>
      <x:c r="B52" s="16"/>
      <x:c r="C52" s="15"/>
      <x:c r="D52" s="15"/>
      <x:c r="E52" s="16"/>
      <x:c r="F52" s="15"/>
      <x:c r="G52" s="15"/>
      <x:c r="H52" s="15"/>
      <x:c r="I52" s="15"/>
      <x:c r="J52" s="15"/>
      <x:c r="K52" s="15"/>
      <x:c r="L52" s="17" t="str">
        <x:f>IF(M52="","",'参数'!$B$3+IF(ROW()=3,0,SUM($S$3:INDEX($S:$S,ROW()-1))))</x:f>
      </x:c>
      <x:c r="M52" s="17"/>
      <x:c r="N52" s="18"/>
      <x:c r="O52" s="19" t="str">
        <x:f>IF(OR(M52="",L52=""),"",M52/L52)</x:f>
      </x:c>
      <x:c r="P52" s="17" t="str">
        <x:f>IF(OR(M52="",N52=""),"",M52*N52)</x:f>
      </x:c>
      <x:c r="Q52" s="17"/>
      <x:c r="R52" s="17" t="str">
        <x:f>IF(OR(M52="",Q52="",Q52="未结算"),"",SWITCH(Q52,"赢",M52*N52,"输",0,"走水",M52,"取消",M52,"半赢",M52*(1+(N52-1)/2),"半输",M52*0.5,""))</x:f>
      </x:c>
      <x:c r="S52" s="17" t="str">
        <x:f>IF(R52="","",R52-M52)</x:f>
      </x:c>
      <x:c r="T52" s="19" t="str">
        <x:f>IF(OR(M52="",S52=""),"",S52/M52)</x:f>
      </x:c>
      <x:c r="U52" s="17" t="str">
        <x:f>IF(S52="","",'参数'!$B$3+SUM($S$3:S52))</x:f>
      </x:c>
      <x:c r="V52" s="15"/>
      <x:c r="W52" s="15"/>
      <x:c r="X52" s="15"/>
    </x:row>
    <x:row r="53" ht="25.5" customHeight="1">
      <x:c r="A53" s="15" t="str">
        <x:f>IF(D53="","",ROW()-2)</x:f>
      </x:c>
      <x:c r="B53" s="16"/>
      <x:c r="C53" s="15"/>
      <x:c r="D53" s="15"/>
      <x:c r="E53" s="16"/>
      <x:c r="F53" s="15"/>
      <x:c r="G53" s="15"/>
      <x:c r="H53" s="15"/>
      <x:c r="I53" s="15"/>
      <x:c r="J53" s="15"/>
      <x:c r="K53" s="15"/>
      <x:c r="L53" s="17" t="str">
        <x:f>IF(M53="","",'参数'!$B$3+IF(ROW()=3,0,SUM($S$3:INDEX($S:$S,ROW()-1))))</x:f>
      </x:c>
      <x:c r="M53" s="17"/>
      <x:c r="N53" s="18"/>
      <x:c r="O53" s="19" t="str">
        <x:f>IF(OR(M53="",L53=""),"",M53/L53)</x:f>
      </x:c>
      <x:c r="P53" s="17" t="str">
        <x:f>IF(OR(M53="",N53=""),"",M53*N53)</x:f>
      </x:c>
      <x:c r="Q53" s="17"/>
      <x:c r="R53" s="17" t="str">
        <x:f>IF(OR(M53="",Q53="",Q53="未结算"),"",SWITCH(Q53,"赢",M53*N53,"输",0,"走水",M53,"取消",M53,"半赢",M53*(1+(N53-1)/2),"半输",M53*0.5,""))</x:f>
      </x:c>
      <x:c r="S53" s="17" t="str">
        <x:f>IF(R53="","",R53-M53)</x:f>
      </x:c>
      <x:c r="T53" s="19" t="str">
        <x:f>IF(OR(M53="",S53=""),"",S53/M53)</x:f>
      </x:c>
      <x:c r="U53" s="17" t="str">
        <x:f>IF(S53="","",'参数'!$B$3+SUM($S$3:S53))</x:f>
      </x:c>
      <x:c r="V53" s="15"/>
      <x:c r="W53" s="15"/>
      <x:c r="X53" s="15"/>
    </x:row>
    <x:row r="54" ht="25.5" customHeight="1">
      <x:c r="A54" s="15" t="str">
        <x:f>IF(D54="","",ROW()-2)</x:f>
      </x:c>
      <x:c r="B54" s="16"/>
      <x:c r="C54" s="15"/>
      <x:c r="D54" s="15"/>
      <x:c r="E54" s="16"/>
      <x:c r="F54" s="15"/>
      <x:c r="G54" s="15"/>
      <x:c r="H54" s="15"/>
      <x:c r="I54" s="15"/>
      <x:c r="J54" s="15"/>
      <x:c r="K54" s="15"/>
      <x:c r="L54" s="17" t="str">
        <x:f>IF(M54="","",'参数'!$B$3+IF(ROW()=3,0,SUM($S$3:INDEX($S:$S,ROW()-1))))</x:f>
      </x:c>
      <x:c r="M54" s="17"/>
      <x:c r="N54" s="18"/>
      <x:c r="O54" s="19" t="str">
        <x:f>IF(OR(M54="",L54=""),"",M54/L54)</x:f>
      </x:c>
      <x:c r="P54" s="17" t="str">
        <x:f>IF(OR(M54="",N54=""),"",M54*N54)</x:f>
      </x:c>
      <x:c r="Q54" s="17"/>
      <x:c r="R54" s="17" t="str">
        <x:f>IF(OR(M54="",Q54="",Q54="未结算"),"",SWITCH(Q54,"赢",M54*N54,"输",0,"走水",M54,"取消",M54,"半赢",M54*(1+(N54-1)/2),"半输",M54*0.5,""))</x:f>
      </x:c>
      <x:c r="S54" s="17" t="str">
        <x:f>IF(R54="","",R54-M54)</x:f>
      </x:c>
      <x:c r="T54" s="19" t="str">
        <x:f>IF(OR(M54="",S54=""),"",S54/M54)</x:f>
      </x:c>
      <x:c r="U54" s="17" t="str">
        <x:f>IF(S54="","",'参数'!$B$3+SUM($S$3:S54))</x:f>
      </x:c>
      <x:c r="V54" s="15"/>
      <x:c r="W54" s="15"/>
      <x:c r="X54" s="15"/>
    </x:row>
    <x:row r="55" ht="25.5" customHeight="1">
      <x:c r="A55" s="15" t="str">
        <x:f>IF(D55="","",ROW()-2)</x:f>
      </x:c>
      <x:c r="B55" s="16"/>
      <x:c r="C55" s="15"/>
      <x:c r="D55" s="15"/>
      <x:c r="E55" s="16"/>
      <x:c r="F55" s="15"/>
      <x:c r="G55" s="15"/>
      <x:c r="H55" s="15"/>
      <x:c r="I55" s="15"/>
      <x:c r="J55" s="15"/>
      <x:c r="K55" s="15"/>
      <x:c r="L55" s="17" t="str">
        <x:f>IF(M55="","",'参数'!$B$3+IF(ROW()=3,0,SUM($S$3:INDEX($S:$S,ROW()-1))))</x:f>
      </x:c>
      <x:c r="M55" s="17"/>
      <x:c r="N55" s="18"/>
      <x:c r="O55" s="19" t="str">
        <x:f>IF(OR(M55="",L55=""),"",M55/L55)</x:f>
      </x:c>
      <x:c r="P55" s="17" t="str">
        <x:f>IF(OR(M55="",N55=""),"",M55*N55)</x:f>
      </x:c>
      <x:c r="Q55" s="17"/>
      <x:c r="R55" s="17" t="str">
        <x:f>IF(OR(M55="",Q55="",Q55="未结算"),"",SWITCH(Q55,"赢",M55*N55,"输",0,"走水",M55,"取消",M55,"半赢",M55*(1+(N55-1)/2),"半输",M55*0.5,""))</x:f>
      </x:c>
      <x:c r="S55" s="17" t="str">
        <x:f>IF(R55="","",R55-M55)</x:f>
      </x:c>
      <x:c r="T55" s="19" t="str">
        <x:f>IF(OR(M55="",S55=""),"",S55/M55)</x:f>
      </x:c>
      <x:c r="U55" s="17" t="str">
        <x:f>IF(S55="","",'参数'!$B$3+SUM($S$3:S55))</x:f>
      </x:c>
      <x:c r="V55" s="15"/>
      <x:c r="W55" s="15"/>
      <x:c r="X55" s="15"/>
    </x:row>
    <x:row r="56" ht="25.5" customHeight="1">
      <x:c r="A56" s="15" t="str">
        <x:f>IF(D56="","",ROW()-2)</x:f>
      </x:c>
      <x:c r="B56" s="16"/>
      <x:c r="C56" s="15"/>
      <x:c r="D56" s="15"/>
      <x:c r="E56" s="16"/>
      <x:c r="F56" s="15"/>
      <x:c r="G56" s="15"/>
      <x:c r="H56" s="15"/>
      <x:c r="I56" s="15"/>
      <x:c r="J56" s="15"/>
      <x:c r="K56" s="15"/>
      <x:c r="L56" s="17" t="str">
        <x:f>IF(M56="","",'参数'!$B$3+IF(ROW()=3,0,SUM($S$3:INDEX($S:$S,ROW()-1))))</x:f>
      </x:c>
      <x:c r="M56" s="17"/>
      <x:c r="N56" s="18"/>
      <x:c r="O56" s="19" t="str">
        <x:f>IF(OR(M56="",L56=""),"",M56/L56)</x:f>
      </x:c>
      <x:c r="P56" s="17" t="str">
        <x:f>IF(OR(M56="",N56=""),"",M56*N56)</x:f>
      </x:c>
      <x:c r="Q56" s="17"/>
      <x:c r="R56" s="17" t="str">
        <x:f>IF(OR(M56="",Q56="",Q56="未结算"),"",SWITCH(Q56,"赢",M56*N56,"输",0,"走水",M56,"取消",M56,"半赢",M56*(1+(N56-1)/2),"半输",M56*0.5,""))</x:f>
      </x:c>
      <x:c r="S56" s="17" t="str">
        <x:f>IF(R56="","",R56-M56)</x:f>
      </x:c>
      <x:c r="T56" s="19" t="str">
        <x:f>IF(OR(M56="",S56=""),"",S56/M56)</x:f>
      </x:c>
      <x:c r="U56" s="17" t="str">
        <x:f>IF(S56="","",'参数'!$B$3+SUM($S$3:S56))</x:f>
      </x:c>
      <x:c r="V56" s="15"/>
      <x:c r="W56" s="15"/>
      <x:c r="X56" s="15"/>
    </x:row>
    <x:row r="57" ht="25.5" customHeight="1">
      <x:c r="A57" s="15" t="str">
        <x:f>IF(D57="","",ROW()-2)</x:f>
      </x:c>
      <x:c r="B57" s="16"/>
      <x:c r="C57" s="15"/>
      <x:c r="D57" s="15"/>
      <x:c r="E57" s="16"/>
      <x:c r="F57" s="15"/>
      <x:c r="G57" s="15"/>
      <x:c r="H57" s="15"/>
      <x:c r="I57" s="15"/>
      <x:c r="J57" s="15"/>
      <x:c r="K57" s="15"/>
      <x:c r="L57" s="17" t="str">
        <x:f>IF(M57="","",'参数'!$B$3+IF(ROW()=3,0,SUM($S$3:INDEX($S:$S,ROW()-1))))</x:f>
      </x:c>
      <x:c r="M57" s="17"/>
      <x:c r="N57" s="18"/>
      <x:c r="O57" s="19" t="str">
        <x:f>IF(OR(M57="",L57=""),"",M57/L57)</x:f>
      </x:c>
      <x:c r="P57" s="17" t="str">
        <x:f>IF(OR(M57="",N57=""),"",M57*N57)</x:f>
      </x:c>
      <x:c r="Q57" s="17"/>
      <x:c r="R57" s="17" t="str">
        <x:f>IF(OR(M57="",Q57="",Q57="未结算"),"",SWITCH(Q57,"赢",M57*N57,"输",0,"走水",M57,"取消",M57,"半赢",M57*(1+(N57-1)/2),"半输",M57*0.5,""))</x:f>
      </x:c>
      <x:c r="S57" s="17" t="str">
        <x:f>IF(R57="","",R57-M57)</x:f>
      </x:c>
      <x:c r="T57" s="19" t="str">
        <x:f>IF(OR(M57="",S57=""),"",S57/M57)</x:f>
      </x:c>
      <x:c r="U57" s="17" t="str">
        <x:f>IF(S57="","",'参数'!$B$3+SUM($S$3:S57))</x:f>
      </x:c>
      <x:c r="V57" s="15"/>
      <x:c r="W57" s="15"/>
      <x:c r="X57" s="15"/>
    </x:row>
    <x:row r="58" ht="25.5" customHeight="1">
      <x:c r="A58" s="15" t="str">
        <x:f>IF(D58="","",ROW()-2)</x:f>
      </x:c>
      <x:c r="B58" s="16"/>
      <x:c r="C58" s="15"/>
      <x:c r="D58" s="15"/>
      <x:c r="E58" s="16"/>
      <x:c r="F58" s="15"/>
      <x:c r="G58" s="15"/>
      <x:c r="H58" s="15"/>
      <x:c r="I58" s="15"/>
      <x:c r="J58" s="15"/>
      <x:c r="K58" s="15"/>
      <x:c r="L58" s="17" t="str">
        <x:f>IF(M58="","",'参数'!$B$3+IF(ROW()=3,0,SUM($S$3:INDEX($S:$S,ROW()-1))))</x:f>
      </x:c>
      <x:c r="M58" s="17"/>
      <x:c r="N58" s="18"/>
      <x:c r="O58" s="19" t="str">
        <x:f>IF(OR(M58="",L58=""),"",M58/L58)</x:f>
      </x:c>
      <x:c r="P58" s="17" t="str">
        <x:f>IF(OR(M58="",N58=""),"",M58*N58)</x:f>
      </x:c>
      <x:c r="Q58" s="17"/>
      <x:c r="R58" s="17" t="str">
        <x:f>IF(OR(M58="",Q58="",Q58="未结算"),"",SWITCH(Q58,"赢",M58*N58,"输",0,"走水",M58,"取消",M58,"半赢",M58*(1+(N58-1)/2),"半输",M58*0.5,""))</x:f>
      </x:c>
      <x:c r="S58" s="17" t="str">
        <x:f>IF(R58="","",R58-M58)</x:f>
      </x:c>
      <x:c r="T58" s="19" t="str">
        <x:f>IF(OR(M58="",S58=""),"",S58/M58)</x:f>
      </x:c>
      <x:c r="U58" s="17" t="str">
        <x:f>IF(S58="","",'参数'!$B$3+SUM($S$3:S58))</x:f>
      </x:c>
      <x:c r="V58" s="15"/>
      <x:c r="W58" s="15"/>
      <x:c r="X58" s="15"/>
    </x:row>
    <x:row r="59" ht="25.5" customHeight="1">
      <x:c r="A59" s="15" t="str">
        <x:f>IF(D59="","",ROW()-2)</x:f>
      </x:c>
      <x:c r="B59" s="16"/>
      <x:c r="C59" s="15"/>
      <x:c r="D59" s="15"/>
      <x:c r="E59" s="16"/>
      <x:c r="F59" s="15"/>
      <x:c r="G59" s="15"/>
      <x:c r="H59" s="15"/>
      <x:c r="I59" s="15"/>
      <x:c r="J59" s="15"/>
      <x:c r="K59" s="15"/>
      <x:c r="L59" s="17" t="str">
        <x:f>IF(M59="","",'参数'!$B$3+IF(ROW()=3,0,SUM($S$3:INDEX($S:$S,ROW()-1))))</x:f>
      </x:c>
      <x:c r="M59" s="17"/>
      <x:c r="N59" s="18"/>
      <x:c r="O59" s="19" t="str">
        <x:f>IF(OR(M59="",L59=""),"",M59/L59)</x:f>
      </x:c>
      <x:c r="P59" s="17" t="str">
        <x:f>IF(OR(M59="",N59=""),"",M59*N59)</x:f>
      </x:c>
      <x:c r="Q59" s="17"/>
      <x:c r="R59" s="17" t="str">
        <x:f>IF(OR(M59="",Q59="",Q59="未结算"),"",SWITCH(Q59,"赢",M59*N59,"输",0,"走水",M59,"取消",M59,"半赢",M59*(1+(N59-1)/2),"半输",M59*0.5,""))</x:f>
      </x:c>
      <x:c r="S59" s="17" t="str">
        <x:f>IF(R59="","",R59-M59)</x:f>
      </x:c>
      <x:c r="T59" s="19" t="str">
        <x:f>IF(OR(M59="",S59=""),"",S59/M59)</x:f>
      </x:c>
      <x:c r="U59" s="17" t="str">
        <x:f>IF(S59="","",'参数'!$B$3+SUM($S$3:S59))</x:f>
      </x:c>
      <x:c r="V59" s="15"/>
      <x:c r="W59" s="15"/>
      <x:c r="X59" s="15"/>
    </x:row>
    <x:row r="60" ht="25.5" customHeight="1">
      <x:c r="A60" s="15" t="str">
        <x:f>IF(D60="","",ROW()-2)</x:f>
      </x:c>
      <x:c r="B60" s="16"/>
      <x:c r="C60" s="15"/>
      <x:c r="D60" s="15"/>
      <x:c r="E60" s="16"/>
      <x:c r="F60" s="15"/>
      <x:c r="G60" s="15"/>
      <x:c r="H60" s="15"/>
      <x:c r="I60" s="15"/>
      <x:c r="J60" s="15"/>
      <x:c r="K60" s="15"/>
      <x:c r="L60" s="17" t="str">
        <x:f>IF(M60="","",'参数'!$B$3+IF(ROW()=3,0,SUM($S$3:INDEX($S:$S,ROW()-1))))</x:f>
      </x:c>
      <x:c r="M60" s="17"/>
      <x:c r="N60" s="18"/>
      <x:c r="O60" s="19" t="str">
        <x:f>IF(OR(M60="",L60=""),"",M60/L60)</x:f>
      </x:c>
      <x:c r="P60" s="17" t="str">
        <x:f>IF(OR(M60="",N60=""),"",M60*N60)</x:f>
      </x:c>
      <x:c r="Q60" s="17"/>
      <x:c r="R60" s="17" t="str">
        <x:f>IF(OR(M60="",Q60="",Q60="未结算"),"",SWITCH(Q60,"赢",M60*N60,"输",0,"走水",M60,"取消",M60,"半赢",M60*(1+(N60-1)/2),"半输",M60*0.5,""))</x:f>
      </x:c>
      <x:c r="S60" s="17" t="str">
        <x:f>IF(R60="","",R60-M60)</x:f>
      </x:c>
      <x:c r="T60" s="19" t="str">
        <x:f>IF(OR(M60="",S60=""),"",S60/M60)</x:f>
      </x:c>
      <x:c r="U60" s="17" t="str">
        <x:f>IF(S60="","",'参数'!$B$3+SUM($S$3:S60))</x:f>
      </x:c>
      <x:c r="V60" s="15"/>
      <x:c r="W60" s="15"/>
      <x:c r="X60" s="15"/>
    </x:row>
    <x:row r="61" ht="25.5" customHeight="1">
      <x:c r="A61" s="15" t="str">
        <x:f>IF(D61="","",ROW()-2)</x:f>
      </x:c>
      <x:c r="B61" s="16"/>
      <x:c r="C61" s="15"/>
      <x:c r="D61" s="15"/>
      <x:c r="E61" s="16"/>
      <x:c r="F61" s="15"/>
      <x:c r="G61" s="15"/>
      <x:c r="H61" s="15"/>
      <x:c r="I61" s="15"/>
      <x:c r="J61" s="15"/>
      <x:c r="K61" s="15"/>
      <x:c r="L61" s="17" t="str">
        <x:f>IF(M61="","",'参数'!$B$3+IF(ROW()=3,0,SUM($S$3:INDEX($S:$S,ROW()-1))))</x:f>
      </x:c>
      <x:c r="M61" s="17"/>
      <x:c r="N61" s="18"/>
      <x:c r="O61" s="19" t="str">
        <x:f>IF(OR(M61="",L61=""),"",M61/L61)</x:f>
      </x:c>
      <x:c r="P61" s="17" t="str">
        <x:f>IF(OR(M61="",N61=""),"",M61*N61)</x:f>
      </x:c>
      <x:c r="Q61" s="17"/>
      <x:c r="R61" s="17" t="str">
        <x:f>IF(OR(M61="",Q61="",Q61="未结算"),"",SWITCH(Q61,"赢",M61*N61,"输",0,"走水",M61,"取消",M61,"半赢",M61*(1+(N61-1)/2),"半输",M61*0.5,""))</x:f>
      </x:c>
      <x:c r="S61" s="17" t="str">
        <x:f>IF(R61="","",R61-M61)</x:f>
      </x:c>
      <x:c r="T61" s="19" t="str">
        <x:f>IF(OR(M61="",S61=""),"",S61/M61)</x:f>
      </x:c>
      <x:c r="U61" s="17" t="str">
        <x:f>IF(S61="","",'参数'!$B$3+SUM($S$3:S61))</x:f>
      </x:c>
      <x:c r="V61" s="15"/>
      <x:c r="W61" s="15"/>
      <x:c r="X61" s="15"/>
    </x:row>
    <x:row r="62" ht="25.5" customHeight="1">
      <x:c r="A62" s="15" t="str">
        <x:f>IF(D62="","",ROW()-2)</x:f>
      </x:c>
      <x:c r="B62" s="16"/>
      <x:c r="C62" s="15"/>
      <x:c r="D62" s="15"/>
      <x:c r="E62" s="16"/>
      <x:c r="F62" s="15"/>
      <x:c r="G62" s="15"/>
      <x:c r="H62" s="15"/>
      <x:c r="I62" s="15"/>
      <x:c r="J62" s="15"/>
      <x:c r="K62" s="15"/>
      <x:c r="L62" s="17" t="str">
        <x:f>IF(M62="","",'参数'!$B$3+IF(ROW()=3,0,SUM($S$3:INDEX($S:$S,ROW()-1))))</x:f>
      </x:c>
      <x:c r="M62" s="17"/>
      <x:c r="N62" s="18"/>
      <x:c r="O62" s="19" t="str">
        <x:f>IF(OR(M62="",L62=""),"",M62/L62)</x:f>
      </x:c>
      <x:c r="P62" s="17" t="str">
        <x:f>IF(OR(M62="",N62=""),"",M62*N62)</x:f>
      </x:c>
      <x:c r="Q62" s="17"/>
      <x:c r="R62" s="17" t="str">
        <x:f>IF(OR(M62="",Q62="",Q62="未结算"),"",SWITCH(Q62,"赢",M62*N62,"输",0,"走水",M62,"取消",M62,"半赢",M62*(1+(N62-1)/2),"半输",M62*0.5,""))</x:f>
      </x:c>
      <x:c r="S62" s="17" t="str">
        <x:f>IF(R62="","",R62-M62)</x:f>
      </x:c>
      <x:c r="T62" s="19" t="str">
        <x:f>IF(OR(M62="",S62=""),"",S62/M62)</x:f>
      </x:c>
      <x:c r="U62" s="17" t="str">
        <x:f>IF(S62="","",'参数'!$B$3+SUM($S$3:S62))</x:f>
      </x:c>
      <x:c r="V62" s="15"/>
      <x:c r="W62" s="15"/>
      <x:c r="X62" s="15"/>
    </x:row>
    <x:row r="63" ht="25.5" customHeight="1">
      <x:c r="A63" s="15" t="str">
        <x:f>IF(D63="","",ROW()-2)</x:f>
      </x:c>
      <x:c r="B63" s="16"/>
      <x:c r="C63" s="15"/>
      <x:c r="D63" s="15"/>
      <x:c r="E63" s="16"/>
      <x:c r="F63" s="15"/>
      <x:c r="G63" s="15"/>
      <x:c r="H63" s="15"/>
      <x:c r="I63" s="15"/>
      <x:c r="J63" s="15"/>
      <x:c r="K63" s="15"/>
      <x:c r="L63" s="17" t="str">
        <x:f>IF(M63="","",'参数'!$B$3+IF(ROW()=3,0,SUM($S$3:INDEX($S:$S,ROW()-1))))</x:f>
      </x:c>
      <x:c r="M63" s="17"/>
      <x:c r="N63" s="18"/>
      <x:c r="O63" s="19" t="str">
        <x:f>IF(OR(M63="",L63=""),"",M63/L63)</x:f>
      </x:c>
      <x:c r="P63" s="17" t="str">
        <x:f>IF(OR(M63="",N63=""),"",M63*N63)</x:f>
      </x:c>
      <x:c r="Q63" s="17"/>
      <x:c r="R63" s="17" t="str">
        <x:f>IF(OR(M63="",Q63="",Q63="未结算"),"",SWITCH(Q63,"赢",M63*N63,"输",0,"走水",M63,"取消",M63,"半赢",M63*(1+(N63-1)/2),"半输",M63*0.5,""))</x:f>
      </x:c>
      <x:c r="S63" s="17" t="str">
        <x:f>IF(R63="","",R63-M63)</x:f>
      </x:c>
      <x:c r="T63" s="19" t="str">
        <x:f>IF(OR(M63="",S63=""),"",S63/M63)</x:f>
      </x:c>
      <x:c r="U63" s="17" t="str">
        <x:f>IF(S63="","",'参数'!$B$3+SUM($S$3:S63))</x:f>
      </x:c>
      <x:c r="V63" s="15"/>
      <x:c r="W63" s="15"/>
      <x:c r="X63" s="15"/>
    </x:row>
    <x:row r="64" ht="25.5" customHeight="1">
      <x:c r="A64" s="15" t="str">
        <x:f>IF(D64="","",ROW()-2)</x:f>
      </x:c>
      <x:c r="B64" s="16"/>
      <x:c r="C64" s="15"/>
      <x:c r="D64" s="15"/>
      <x:c r="E64" s="16"/>
      <x:c r="F64" s="15"/>
      <x:c r="G64" s="15"/>
      <x:c r="H64" s="15"/>
      <x:c r="I64" s="15"/>
      <x:c r="J64" s="15"/>
      <x:c r="K64" s="15"/>
      <x:c r="L64" s="17" t="str">
        <x:f>IF(M64="","",'参数'!$B$3+IF(ROW()=3,0,SUM($S$3:INDEX($S:$S,ROW()-1))))</x:f>
      </x:c>
      <x:c r="M64" s="17"/>
      <x:c r="N64" s="18"/>
      <x:c r="O64" s="19" t="str">
        <x:f>IF(OR(M64="",L64=""),"",M64/L64)</x:f>
      </x:c>
      <x:c r="P64" s="17" t="str">
        <x:f>IF(OR(M64="",N64=""),"",M64*N64)</x:f>
      </x:c>
      <x:c r="Q64" s="17"/>
      <x:c r="R64" s="17" t="str">
        <x:f>IF(OR(M64="",Q64="",Q64="未结算"),"",SWITCH(Q64,"赢",M64*N64,"输",0,"走水",M64,"取消",M64,"半赢",M64*(1+(N64-1)/2),"半输",M64*0.5,""))</x:f>
      </x:c>
      <x:c r="S64" s="17" t="str">
        <x:f>IF(R64="","",R64-M64)</x:f>
      </x:c>
      <x:c r="T64" s="19" t="str">
        <x:f>IF(OR(M64="",S64=""),"",S64/M64)</x:f>
      </x:c>
      <x:c r="U64" s="17" t="str">
        <x:f>IF(S64="","",'参数'!$B$3+SUM($S$3:S64))</x:f>
      </x:c>
      <x:c r="V64" s="15"/>
      <x:c r="W64" s="15"/>
      <x:c r="X64" s="15"/>
    </x:row>
    <x:row r="65" ht="25.5" customHeight="1">
      <x:c r="A65" s="15" t="str">
        <x:f>IF(D65="","",ROW()-2)</x:f>
      </x:c>
      <x:c r="B65" s="16"/>
      <x:c r="C65" s="15"/>
      <x:c r="D65" s="15"/>
      <x:c r="E65" s="16"/>
      <x:c r="F65" s="15"/>
      <x:c r="G65" s="15"/>
      <x:c r="H65" s="15"/>
      <x:c r="I65" s="15"/>
      <x:c r="J65" s="15"/>
      <x:c r="K65" s="15"/>
      <x:c r="L65" s="17" t="str">
        <x:f>IF(M65="","",'参数'!$B$3+IF(ROW()=3,0,SUM($S$3:INDEX($S:$S,ROW()-1))))</x:f>
      </x:c>
      <x:c r="M65" s="17"/>
      <x:c r="N65" s="18"/>
      <x:c r="O65" s="19" t="str">
        <x:f>IF(OR(M65="",L65=""),"",M65/L65)</x:f>
      </x:c>
      <x:c r="P65" s="17" t="str">
        <x:f>IF(OR(M65="",N65=""),"",M65*N65)</x:f>
      </x:c>
      <x:c r="Q65" s="17"/>
      <x:c r="R65" s="17" t="str">
        <x:f>IF(OR(M65="",Q65="",Q65="未结算"),"",SWITCH(Q65,"赢",M65*N65,"输",0,"走水",M65,"取消",M65,"半赢",M65*(1+(N65-1)/2),"半输",M65*0.5,""))</x:f>
      </x:c>
      <x:c r="S65" s="17" t="str">
        <x:f>IF(R65="","",R65-M65)</x:f>
      </x:c>
      <x:c r="T65" s="19" t="str">
        <x:f>IF(OR(M65="",S65=""),"",S65/M65)</x:f>
      </x:c>
      <x:c r="U65" s="17" t="str">
        <x:f>IF(S65="","",'参数'!$B$3+SUM($S$3:S65))</x:f>
      </x:c>
      <x:c r="V65" s="15"/>
      <x:c r="W65" s="15"/>
      <x:c r="X65" s="15"/>
    </x:row>
    <x:row r="66" ht="25.5" customHeight="1">
      <x:c r="A66" s="15" t="str">
        <x:f>IF(D66="","",ROW()-2)</x:f>
      </x:c>
      <x:c r="B66" s="16"/>
      <x:c r="C66" s="15"/>
      <x:c r="D66" s="15"/>
      <x:c r="E66" s="16"/>
      <x:c r="F66" s="15"/>
      <x:c r="G66" s="15"/>
      <x:c r="H66" s="15"/>
      <x:c r="I66" s="15"/>
      <x:c r="J66" s="15"/>
      <x:c r="K66" s="15"/>
      <x:c r="L66" s="17" t="str">
        <x:f>IF(M66="","",'参数'!$B$3+IF(ROW()=3,0,SUM($S$3:INDEX($S:$S,ROW()-1))))</x:f>
      </x:c>
      <x:c r="M66" s="17"/>
      <x:c r="N66" s="18"/>
      <x:c r="O66" s="19" t="str">
        <x:f>IF(OR(M66="",L66=""),"",M66/L66)</x:f>
      </x:c>
      <x:c r="P66" s="17" t="str">
        <x:f>IF(OR(M66="",N66=""),"",M66*N66)</x:f>
      </x:c>
      <x:c r="Q66" s="17"/>
      <x:c r="R66" s="17" t="str">
        <x:f>IF(OR(M66="",Q66="",Q66="未结算"),"",SWITCH(Q66,"赢",M66*N66,"输",0,"走水",M66,"取消",M66,"半赢",M66*(1+(N66-1)/2),"半输",M66*0.5,""))</x:f>
      </x:c>
      <x:c r="S66" s="17" t="str">
        <x:f>IF(R66="","",R66-M66)</x:f>
      </x:c>
      <x:c r="T66" s="19" t="str">
        <x:f>IF(OR(M66="",S66=""),"",S66/M66)</x:f>
      </x:c>
      <x:c r="U66" s="17" t="str">
        <x:f>IF(S66="","",'参数'!$B$3+SUM($S$3:S66))</x:f>
      </x:c>
      <x:c r="V66" s="15"/>
      <x:c r="W66" s="15"/>
      <x:c r="X66" s="15"/>
    </x:row>
    <x:row r="67" ht="25.5" customHeight="1">
      <x:c r="A67" s="15" t="str">
        <x:f>IF(D67="","",ROW()-2)</x:f>
      </x:c>
      <x:c r="B67" s="16"/>
      <x:c r="C67" s="15"/>
      <x:c r="D67" s="15"/>
      <x:c r="E67" s="16"/>
      <x:c r="F67" s="15"/>
      <x:c r="G67" s="15"/>
      <x:c r="H67" s="15"/>
      <x:c r="I67" s="15"/>
      <x:c r="J67" s="15"/>
      <x:c r="K67" s="15"/>
      <x:c r="L67" s="17" t="str">
        <x:f>IF(M67="","",'参数'!$B$3+IF(ROW()=3,0,SUM($S$3:INDEX($S:$S,ROW()-1))))</x:f>
      </x:c>
      <x:c r="M67" s="17"/>
      <x:c r="N67" s="18"/>
      <x:c r="O67" s="19" t="str">
        <x:f>IF(OR(M67="",L67=""),"",M67/L67)</x:f>
      </x:c>
      <x:c r="P67" s="17" t="str">
        <x:f>IF(OR(M67="",N67=""),"",M67*N67)</x:f>
      </x:c>
      <x:c r="Q67" s="17"/>
      <x:c r="R67" s="17" t="str">
        <x:f>IF(OR(M67="",Q67="",Q67="未结算"),"",SWITCH(Q67,"赢",M67*N67,"输",0,"走水",M67,"取消",M67,"半赢",M67*(1+(N67-1)/2),"半输",M67*0.5,""))</x:f>
      </x:c>
      <x:c r="S67" s="17" t="str">
        <x:f>IF(R67="","",R67-M67)</x:f>
      </x:c>
      <x:c r="T67" s="19" t="str">
        <x:f>IF(OR(M67="",S67=""),"",S67/M67)</x:f>
      </x:c>
      <x:c r="U67" s="17" t="str">
        <x:f>IF(S67="","",'参数'!$B$3+SUM($S$3:S67))</x:f>
      </x:c>
      <x:c r="V67" s="15"/>
      <x:c r="W67" s="15"/>
      <x:c r="X67" s="15"/>
    </x:row>
    <x:row r="68" ht="25.5" customHeight="1">
      <x:c r="A68" s="15" t="str">
        <x:f>IF(D68="","",ROW()-2)</x:f>
      </x:c>
      <x:c r="B68" s="16"/>
      <x:c r="C68" s="15"/>
      <x:c r="D68" s="15"/>
      <x:c r="E68" s="16"/>
      <x:c r="F68" s="15"/>
      <x:c r="G68" s="15"/>
      <x:c r="H68" s="15"/>
      <x:c r="I68" s="15"/>
      <x:c r="J68" s="15"/>
      <x:c r="K68" s="15"/>
      <x:c r="L68" s="17" t="str">
        <x:f>IF(M68="","",'参数'!$B$3+IF(ROW()=3,0,SUM($S$3:INDEX($S:$S,ROW()-1))))</x:f>
      </x:c>
      <x:c r="M68" s="17"/>
      <x:c r="N68" s="18"/>
      <x:c r="O68" s="19" t="str">
        <x:f>IF(OR(M68="",L68=""),"",M68/L68)</x:f>
      </x:c>
      <x:c r="P68" s="17" t="str">
        <x:f>IF(OR(M68="",N68=""),"",M68*N68)</x:f>
      </x:c>
      <x:c r="Q68" s="17"/>
      <x:c r="R68" s="17" t="str">
        <x:f>IF(OR(M68="",Q68="",Q68="未结算"),"",SWITCH(Q68,"赢",M68*N68,"输",0,"走水",M68,"取消",M68,"半赢",M68*(1+(N68-1)/2),"半输",M68*0.5,""))</x:f>
      </x:c>
      <x:c r="S68" s="17" t="str">
        <x:f>IF(R68="","",R68-M68)</x:f>
      </x:c>
      <x:c r="T68" s="19" t="str">
        <x:f>IF(OR(M68="",S68=""),"",S68/M68)</x:f>
      </x:c>
      <x:c r="U68" s="17" t="str">
        <x:f>IF(S68="","",'参数'!$B$3+SUM($S$3:S68))</x:f>
      </x:c>
      <x:c r="V68" s="15"/>
      <x:c r="W68" s="15"/>
      <x:c r="X68" s="15"/>
    </x:row>
    <x:row r="69" ht="25.5" customHeight="1">
      <x:c r="A69" s="15" t="str">
        <x:f>IF(D69="","",ROW()-2)</x:f>
      </x:c>
      <x:c r="B69" s="16"/>
      <x:c r="C69" s="15"/>
      <x:c r="D69" s="15"/>
      <x:c r="E69" s="16"/>
      <x:c r="F69" s="15"/>
      <x:c r="G69" s="15"/>
      <x:c r="H69" s="15"/>
      <x:c r="I69" s="15"/>
      <x:c r="J69" s="15"/>
      <x:c r="K69" s="15"/>
      <x:c r="L69" s="17" t="str">
        <x:f>IF(M69="","",'参数'!$B$3+IF(ROW()=3,0,SUM($S$3:INDEX($S:$S,ROW()-1))))</x:f>
      </x:c>
      <x:c r="M69" s="17"/>
      <x:c r="N69" s="18"/>
      <x:c r="O69" s="19" t="str">
        <x:f>IF(OR(M69="",L69=""),"",M69/L69)</x:f>
      </x:c>
      <x:c r="P69" s="17" t="str">
        <x:f>IF(OR(M69="",N69=""),"",M69*N69)</x:f>
      </x:c>
      <x:c r="Q69" s="17"/>
      <x:c r="R69" s="17" t="str">
        <x:f>IF(OR(M69="",Q69="",Q69="未结算"),"",SWITCH(Q69,"赢",M69*N69,"输",0,"走水",M69,"取消",M69,"半赢",M69*(1+(N69-1)/2),"半输",M69*0.5,""))</x:f>
      </x:c>
      <x:c r="S69" s="17" t="str">
        <x:f>IF(R69="","",R69-M69)</x:f>
      </x:c>
      <x:c r="T69" s="19" t="str">
        <x:f>IF(OR(M69="",S69=""),"",S69/M69)</x:f>
      </x:c>
      <x:c r="U69" s="17" t="str">
        <x:f>IF(S69="","",'参数'!$B$3+SUM($S$3:S69))</x:f>
      </x:c>
      <x:c r="V69" s="15"/>
      <x:c r="W69" s="15"/>
      <x:c r="X69" s="15"/>
    </x:row>
    <x:row r="70" ht="25.5" customHeight="1">
      <x:c r="A70" s="15" t="str">
        <x:f>IF(D70="","",ROW()-2)</x:f>
      </x:c>
      <x:c r="B70" s="16"/>
      <x:c r="C70" s="15"/>
      <x:c r="D70" s="15"/>
      <x:c r="E70" s="16"/>
      <x:c r="F70" s="15"/>
      <x:c r="G70" s="15"/>
      <x:c r="H70" s="15"/>
      <x:c r="I70" s="15"/>
      <x:c r="J70" s="15"/>
      <x:c r="K70" s="15"/>
      <x:c r="L70" s="17" t="str">
        <x:f>IF(M70="","",'参数'!$B$3+IF(ROW()=3,0,SUM($S$3:INDEX($S:$S,ROW()-1))))</x:f>
      </x:c>
      <x:c r="M70" s="17"/>
      <x:c r="N70" s="18"/>
      <x:c r="O70" s="19" t="str">
        <x:f>IF(OR(M70="",L70=""),"",M70/L70)</x:f>
      </x:c>
      <x:c r="P70" s="17" t="str">
        <x:f>IF(OR(M70="",N70=""),"",M70*N70)</x:f>
      </x:c>
      <x:c r="Q70" s="17"/>
      <x:c r="R70" s="17" t="str">
        <x:f>IF(OR(M70="",Q70="",Q70="未结算"),"",SWITCH(Q70,"赢",M70*N70,"输",0,"走水",M70,"取消",M70,"半赢",M70*(1+(N70-1)/2),"半输",M70*0.5,""))</x:f>
      </x:c>
      <x:c r="S70" s="17" t="str">
        <x:f>IF(R70="","",R70-M70)</x:f>
      </x:c>
      <x:c r="T70" s="19" t="str">
        <x:f>IF(OR(M70="",S70=""),"",S70/M70)</x:f>
      </x:c>
      <x:c r="U70" s="17" t="str">
        <x:f>IF(S70="","",'参数'!$B$3+SUM($S$3:S70))</x:f>
      </x:c>
      <x:c r="V70" s="15"/>
      <x:c r="W70" s="15"/>
      <x:c r="X70" s="15"/>
    </x:row>
    <x:row r="71" ht="25.5" customHeight="1">
      <x:c r="A71" s="15" t="str">
        <x:f>IF(D71="","",ROW()-2)</x:f>
      </x:c>
      <x:c r="B71" s="16"/>
      <x:c r="C71" s="15"/>
      <x:c r="D71" s="15"/>
      <x:c r="E71" s="16"/>
      <x:c r="F71" s="15"/>
      <x:c r="G71" s="15"/>
      <x:c r="H71" s="15"/>
      <x:c r="I71" s="15"/>
      <x:c r="J71" s="15"/>
      <x:c r="K71" s="15"/>
      <x:c r="L71" s="17" t="str">
        <x:f>IF(M71="","",'参数'!$B$3+IF(ROW()=3,0,SUM($S$3:INDEX($S:$S,ROW()-1))))</x:f>
      </x:c>
      <x:c r="M71" s="17"/>
      <x:c r="N71" s="18"/>
      <x:c r="O71" s="19" t="str">
        <x:f>IF(OR(M71="",L71=""),"",M71/L71)</x:f>
      </x:c>
      <x:c r="P71" s="17" t="str">
        <x:f>IF(OR(M71="",N71=""),"",M71*N71)</x:f>
      </x:c>
      <x:c r="Q71" s="17"/>
      <x:c r="R71" s="17" t="str">
        <x:f>IF(OR(M71="",Q71="",Q71="未结算"),"",SWITCH(Q71,"赢",M71*N71,"输",0,"走水",M71,"取消",M71,"半赢",M71*(1+(N71-1)/2),"半输",M71*0.5,""))</x:f>
      </x:c>
      <x:c r="S71" s="17" t="str">
        <x:f>IF(R71="","",R71-M71)</x:f>
      </x:c>
      <x:c r="T71" s="19" t="str">
        <x:f>IF(OR(M71="",S71=""),"",S71/M71)</x:f>
      </x:c>
      <x:c r="U71" s="17" t="str">
        <x:f>IF(S71="","",'参数'!$B$3+SUM($S$3:S71))</x:f>
      </x:c>
      <x:c r="V71" s="15"/>
      <x:c r="W71" s="15"/>
      <x:c r="X71" s="15"/>
    </x:row>
    <x:row r="72" ht="25.5" customHeight="1">
      <x:c r="A72" s="15" t="str">
        <x:f>IF(D72="","",ROW()-2)</x:f>
      </x:c>
      <x:c r="B72" s="16"/>
      <x:c r="C72" s="15"/>
      <x:c r="D72" s="15"/>
      <x:c r="E72" s="16"/>
      <x:c r="F72" s="15"/>
      <x:c r="G72" s="15"/>
      <x:c r="H72" s="15"/>
      <x:c r="I72" s="15"/>
      <x:c r="J72" s="15"/>
      <x:c r="K72" s="15"/>
      <x:c r="L72" s="17" t="str">
        <x:f>IF(M72="","",'参数'!$B$3+IF(ROW()=3,0,SUM($S$3:INDEX($S:$S,ROW()-1))))</x:f>
      </x:c>
      <x:c r="M72" s="17"/>
      <x:c r="N72" s="18"/>
      <x:c r="O72" s="19" t="str">
        <x:f>IF(OR(M72="",L72=""),"",M72/L72)</x:f>
      </x:c>
      <x:c r="P72" s="17" t="str">
        <x:f>IF(OR(M72="",N72=""),"",M72*N72)</x:f>
      </x:c>
      <x:c r="Q72" s="17"/>
      <x:c r="R72" s="17" t="str">
        <x:f>IF(OR(M72="",Q72="",Q72="未结算"),"",SWITCH(Q72,"赢",M72*N72,"输",0,"走水",M72,"取消",M72,"半赢",M72*(1+(N72-1)/2),"半输",M72*0.5,""))</x:f>
      </x:c>
      <x:c r="S72" s="17" t="str">
        <x:f>IF(R72="","",R72-M72)</x:f>
      </x:c>
      <x:c r="T72" s="19" t="str">
        <x:f>IF(OR(M72="",S72=""),"",S72/M72)</x:f>
      </x:c>
      <x:c r="U72" s="17" t="str">
        <x:f>IF(S72="","",'参数'!$B$3+SUM($S$3:S72))</x:f>
      </x:c>
      <x:c r="V72" s="15"/>
      <x:c r="W72" s="15"/>
      <x:c r="X72" s="15"/>
    </x:row>
    <x:row r="73" ht="25.5" customHeight="1">
      <x:c r="A73" s="15" t="str">
        <x:f>IF(D73="","",ROW()-2)</x:f>
      </x:c>
      <x:c r="B73" s="16"/>
      <x:c r="C73" s="15"/>
      <x:c r="D73" s="15"/>
      <x:c r="E73" s="16"/>
      <x:c r="F73" s="15"/>
      <x:c r="G73" s="15"/>
      <x:c r="H73" s="15"/>
      <x:c r="I73" s="15"/>
      <x:c r="J73" s="15"/>
      <x:c r="K73" s="15"/>
      <x:c r="L73" s="17" t="str">
        <x:f>IF(M73="","",'参数'!$B$3+IF(ROW()=3,0,SUM($S$3:INDEX($S:$S,ROW()-1))))</x:f>
      </x:c>
      <x:c r="M73" s="17"/>
      <x:c r="N73" s="18"/>
      <x:c r="O73" s="19" t="str">
        <x:f>IF(OR(M73="",L73=""),"",M73/L73)</x:f>
      </x:c>
      <x:c r="P73" s="17" t="str">
        <x:f>IF(OR(M73="",N73=""),"",M73*N73)</x:f>
      </x:c>
      <x:c r="Q73" s="17"/>
      <x:c r="R73" s="17" t="str">
        <x:f>IF(OR(M73="",Q73="",Q73="未结算"),"",SWITCH(Q73,"赢",M73*N73,"输",0,"走水",M73,"取消",M73,"半赢",M73*(1+(N73-1)/2),"半输",M73*0.5,""))</x:f>
      </x:c>
      <x:c r="S73" s="17" t="str">
        <x:f>IF(R73="","",R73-M73)</x:f>
      </x:c>
      <x:c r="T73" s="19" t="str">
        <x:f>IF(OR(M73="",S73=""),"",S73/M73)</x:f>
      </x:c>
      <x:c r="U73" s="17" t="str">
        <x:f>IF(S73="","",'参数'!$B$3+SUM($S$3:S73))</x:f>
      </x:c>
      <x:c r="V73" s="15"/>
      <x:c r="W73" s="15"/>
      <x:c r="X73" s="15"/>
    </x:row>
    <x:row r="74" ht="25.5" customHeight="1">
      <x:c r="A74" s="15" t="str">
        <x:f>IF(D74="","",ROW()-2)</x:f>
      </x:c>
      <x:c r="B74" s="16"/>
      <x:c r="C74" s="15"/>
      <x:c r="D74" s="15"/>
      <x:c r="E74" s="16"/>
      <x:c r="F74" s="15"/>
      <x:c r="G74" s="15"/>
      <x:c r="H74" s="15"/>
      <x:c r="I74" s="15"/>
      <x:c r="J74" s="15"/>
      <x:c r="K74" s="15"/>
      <x:c r="L74" s="17" t="str">
        <x:f>IF(M74="","",'参数'!$B$3+IF(ROW()=3,0,SUM($S$3:INDEX($S:$S,ROW()-1))))</x:f>
      </x:c>
      <x:c r="M74" s="17"/>
      <x:c r="N74" s="18"/>
      <x:c r="O74" s="19" t="str">
        <x:f>IF(OR(M74="",L74=""),"",M74/L74)</x:f>
      </x:c>
      <x:c r="P74" s="17" t="str">
        <x:f>IF(OR(M74="",N74=""),"",M74*N74)</x:f>
      </x:c>
      <x:c r="Q74" s="17"/>
      <x:c r="R74" s="17" t="str">
        <x:f>IF(OR(M74="",Q74="",Q74="未结算"),"",SWITCH(Q74,"赢",M74*N74,"输",0,"走水",M74,"取消",M74,"半赢",M74*(1+(N74-1)/2),"半输",M74*0.5,""))</x:f>
      </x:c>
      <x:c r="S74" s="17" t="str">
        <x:f>IF(R74="","",R74-M74)</x:f>
      </x:c>
      <x:c r="T74" s="19" t="str">
        <x:f>IF(OR(M74="",S74=""),"",S74/M74)</x:f>
      </x:c>
      <x:c r="U74" s="17" t="str">
        <x:f>IF(S74="","",'参数'!$B$3+SUM($S$3:S74))</x:f>
      </x:c>
      <x:c r="V74" s="15"/>
      <x:c r="W74" s="15"/>
      <x:c r="X74" s="15"/>
    </x:row>
    <x:row r="75" ht="25.5" customHeight="1">
      <x:c r="A75" s="15" t="str">
        <x:f>IF(D75="","",ROW()-2)</x:f>
      </x:c>
      <x:c r="B75" s="16"/>
      <x:c r="C75" s="15"/>
      <x:c r="D75" s="15"/>
      <x:c r="E75" s="16"/>
      <x:c r="F75" s="15"/>
      <x:c r="G75" s="15"/>
      <x:c r="H75" s="15"/>
      <x:c r="I75" s="15"/>
      <x:c r="J75" s="15"/>
      <x:c r="K75" s="15"/>
      <x:c r="L75" s="17" t="str">
        <x:f>IF(M75="","",'参数'!$B$3+IF(ROW()=3,0,SUM($S$3:INDEX($S:$S,ROW()-1))))</x:f>
      </x:c>
      <x:c r="M75" s="17"/>
      <x:c r="N75" s="18"/>
      <x:c r="O75" s="19" t="str">
        <x:f>IF(OR(M75="",L75=""),"",M75/L75)</x:f>
      </x:c>
      <x:c r="P75" s="17" t="str">
        <x:f>IF(OR(M75="",N75=""),"",M75*N75)</x:f>
      </x:c>
      <x:c r="Q75" s="17"/>
      <x:c r="R75" s="17" t="str">
        <x:f>IF(OR(M75="",Q75="",Q75="未结算"),"",SWITCH(Q75,"赢",M75*N75,"输",0,"走水",M75,"取消",M75,"半赢",M75*(1+(N75-1)/2),"半输",M75*0.5,""))</x:f>
      </x:c>
      <x:c r="S75" s="17" t="str">
        <x:f>IF(R75="","",R75-M75)</x:f>
      </x:c>
      <x:c r="T75" s="19" t="str">
        <x:f>IF(OR(M75="",S75=""),"",S75/M75)</x:f>
      </x:c>
      <x:c r="U75" s="17" t="str">
        <x:f>IF(S75="","",'参数'!$B$3+SUM($S$3:S75))</x:f>
      </x:c>
      <x:c r="V75" s="15"/>
      <x:c r="W75" s="15"/>
      <x:c r="X75" s="15"/>
    </x:row>
    <x:row r="76" ht="25.5" customHeight="1">
      <x:c r="A76" s="15" t="str">
        <x:f>IF(D76="","",ROW()-2)</x:f>
      </x:c>
      <x:c r="B76" s="16"/>
      <x:c r="C76" s="15"/>
      <x:c r="D76" s="15"/>
      <x:c r="E76" s="16"/>
      <x:c r="F76" s="15"/>
      <x:c r="G76" s="15"/>
      <x:c r="H76" s="15"/>
      <x:c r="I76" s="15"/>
      <x:c r="J76" s="15"/>
      <x:c r="K76" s="15"/>
      <x:c r="L76" s="17" t="str">
        <x:f>IF(M76="","",'参数'!$B$3+IF(ROW()=3,0,SUM($S$3:INDEX($S:$S,ROW()-1))))</x:f>
      </x:c>
      <x:c r="M76" s="17"/>
      <x:c r="N76" s="18"/>
      <x:c r="O76" s="19" t="str">
        <x:f>IF(OR(M76="",L76=""),"",M76/L76)</x:f>
      </x:c>
      <x:c r="P76" s="17" t="str">
        <x:f>IF(OR(M76="",N76=""),"",M76*N76)</x:f>
      </x:c>
      <x:c r="Q76" s="17"/>
      <x:c r="R76" s="17" t="str">
        <x:f>IF(OR(M76="",Q76="",Q76="未结算"),"",SWITCH(Q76,"赢",M76*N76,"输",0,"走水",M76,"取消",M76,"半赢",M76*(1+(N76-1)/2),"半输",M76*0.5,""))</x:f>
      </x:c>
      <x:c r="S76" s="17" t="str">
        <x:f>IF(R76="","",R76-M76)</x:f>
      </x:c>
      <x:c r="T76" s="19" t="str">
        <x:f>IF(OR(M76="",S76=""),"",S76/M76)</x:f>
      </x:c>
      <x:c r="U76" s="17" t="str">
        <x:f>IF(S76="","",'参数'!$B$3+SUM($S$3:S76))</x:f>
      </x:c>
      <x:c r="V76" s="15"/>
      <x:c r="W76" s="15"/>
      <x:c r="X76" s="15"/>
    </x:row>
    <x:row r="77" ht="25.5" customHeight="1">
      <x:c r="A77" s="15" t="str">
        <x:f>IF(D77="","",ROW()-2)</x:f>
      </x:c>
      <x:c r="B77" s="16"/>
      <x:c r="C77" s="15"/>
      <x:c r="D77" s="15"/>
      <x:c r="E77" s="16"/>
      <x:c r="F77" s="15"/>
      <x:c r="G77" s="15"/>
      <x:c r="H77" s="15"/>
      <x:c r="I77" s="15"/>
      <x:c r="J77" s="15"/>
      <x:c r="K77" s="15"/>
      <x:c r="L77" s="17" t="str">
        <x:f>IF(M77="","",'参数'!$B$3+IF(ROW()=3,0,SUM($S$3:INDEX($S:$S,ROW()-1))))</x:f>
      </x:c>
      <x:c r="M77" s="17"/>
      <x:c r="N77" s="18"/>
      <x:c r="O77" s="19" t="str">
        <x:f>IF(OR(M77="",L77=""),"",M77/L77)</x:f>
      </x:c>
      <x:c r="P77" s="17" t="str">
        <x:f>IF(OR(M77="",N77=""),"",M77*N77)</x:f>
      </x:c>
      <x:c r="Q77" s="17"/>
      <x:c r="R77" s="17" t="str">
        <x:f>IF(OR(M77="",Q77="",Q77="未结算"),"",SWITCH(Q77,"赢",M77*N77,"输",0,"走水",M77,"取消",M77,"半赢",M77*(1+(N77-1)/2),"半输",M77*0.5,""))</x:f>
      </x:c>
      <x:c r="S77" s="17" t="str">
        <x:f>IF(R77="","",R77-M77)</x:f>
      </x:c>
      <x:c r="T77" s="19" t="str">
        <x:f>IF(OR(M77="",S77=""),"",S77/M77)</x:f>
      </x:c>
      <x:c r="U77" s="17" t="str">
        <x:f>IF(S77="","",'参数'!$B$3+SUM($S$3:S77))</x:f>
      </x:c>
      <x:c r="V77" s="15"/>
      <x:c r="W77" s="15"/>
      <x:c r="X77" s="15"/>
    </x:row>
    <x:row r="78" ht="25.5" customHeight="1">
      <x:c r="A78" s="15" t="str">
        <x:f>IF(D78="","",ROW()-2)</x:f>
      </x:c>
      <x:c r="B78" s="16"/>
      <x:c r="C78" s="15"/>
      <x:c r="D78" s="15"/>
      <x:c r="E78" s="16"/>
      <x:c r="F78" s="15"/>
      <x:c r="G78" s="15"/>
      <x:c r="H78" s="15"/>
      <x:c r="I78" s="15"/>
      <x:c r="J78" s="15"/>
      <x:c r="K78" s="15"/>
      <x:c r="L78" s="17" t="str">
        <x:f>IF(M78="","",'参数'!$B$3+IF(ROW()=3,0,SUM($S$3:INDEX($S:$S,ROW()-1))))</x:f>
      </x:c>
      <x:c r="M78" s="17"/>
      <x:c r="N78" s="18"/>
      <x:c r="O78" s="19" t="str">
        <x:f>IF(OR(M78="",L78=""),"",M78/L78)</x:f>
      </x:c>
      <x:c r="P78" s="17" t="str">
        <x:f>IF(OR(M78="",N78=""),"",M78*N78)</x:f>
      </x:c>
      <x:c r="Q78" s="17"/>
      <x:c r="R78" s="17" t="str">
        <x:f>IF(OR(M78="",Q78="",Q78="未结算"),"",SWITCH(Q78,"赢",M78*N78,"输",0,"走水",M78,"取消",M78,"半赢",M78*(1+(N78-1)/2),"半输",M78*0.5,""))</x:f>
      </x:c>
      <x:c r="S78" s="17" t="str">
        <x:f>IF(R78="","",R78-M78)</x:f>
      </x:c>
      <x:c r="T78" s="19" t="str">
        <x:f>IF(OR(M78="",S78=""),"",S78/M78)</x:f>
      </x:c>
      <x:c r="U78" s="17" t="str">
        <x:f>IF(S78="","",'参数'!$B$3+SUM($S$3:S78))</x:f>
      </x:c>
      <x:c r="V78" s="15"/>
      <x:c r="W78" s="15"/>
      <x:c r="X78" s="15"/>
    </x:row>
    <x:row r="79" ht="25.5" customHeight="1">
      <x:c r="A79" s="15" t="str">
        <x:f>IF(D79="","",ROW()-2)</x:f>
      </x:c>
      <x:c r="B79" s="16"/>
      <x:c r="C79" s="15"/>
      <x:c r="D79" s="15"/>
      <x:c r="E79" s="16"/>
      <x:c r="F79" s="15"/>
      <x:c r="G79" s="15"/>
      <x:c r="H79" s="15"/>
      <x:c r="I79" s="15"/>
      <x:c r="J79" s="15"/>
      <x:c r="K79" s="15"/>
      <x:c r="L79" s="17" t="str">
        <x:f>IF(M79="","",'参数'!$B$3+IF(ROW()=3,0,SUM($S$3:INDEX($S:$S,ROW()-1))))</x:f>
      </x:c>
      <x:c r="M79" s="17"/>
      <x:c r="N79" s="18"/>
      <x:c r="O79" s="19" t="str">
        <x:f>IF(OR(M79="",L79=""),"",M79/L79)</x:f>
      </x:c>
      <x:c r="P79" s="17" t="str">
        <x:f>IF(OR(M79="",N79=""),"",M79*N79)</x:f>
      </x:c>
      <x:c r="Q79" s="17"/>
      <x:c r="R79" s="17" t="str">
        <x:f>IF(OR(M79="",Q79="",Q79="未结算"),"",SWITCH(Q79,"赢",M79*N79,"输",0,"走水",M79,"取消",M79,"半赢",M79*(1+(N79-1)/2),"半输",M79*0.5,""))</x:f>
      </x:c>
      <x:c r="S79" s="17" t="str">
        <x:f>IF(R79="","",R79-M79)</x:f>
      </x:c>
      <x:c r="T79" s="19" t="str">
        <x:f>IF(OR(M79="",S79=""),"",S79/M79)</x:f>
      </x:c>
      <x:c r="U79" s="17" t="str">
        <x:f>IF(S79="","",'参数'!$B$3+SUM($S$3:S79))</x:f>
      </x:c>
      <x:c r="V79" s="15"/>
      <x:c r="W79" s="15"/>
      <x:c r="X79" s="15"/>
    </x:row>
    <x:row r="80" ht="25.5" customHeight="1">
      <x:c r="A80" s="15" t="str">
        <x:f>IF(D80="","",ROW()-2)</x:f>
      </x:c>
      <x:c r="B80" s="16"/>
      <x:c r="C80" s="15"/>
      <x:c r="D80" s="15"/>
      <x:c r="E80" s="16"/>
      <x:c r="F80" s="15"/>
      <x:c r="G80" s="15"/>
      <x:c r="H80" s="15"/>
      <x:c r="I80" s="15"/>
      <x:c r="J80" s="15"/>
      <x:c r="K80" s="15"/>
      <x:c r="L80" s="17" t="str">
        <x:f>IF(M80="","",'参数'!$B$3+IF(ROW()=3,0,SUM($S$3:INDEX($S:$S,ROW()-1))))</x:f>
      </x:c>
      <x:c r="M80" s="17"/>
      <x:c r="N80" s="18"/>
      <x:c r="O80" s="19" t="str">
        <x:f>IF(OR(M80="",L80=""),"",M80/L80)</x:f>
      </x:c>
      <x:c r="P80" s="17" t="str">
        <x:f>IF(OR(M80="",N80=""),"",M80*N80)</x:f>
      </x:c>
      <x:c r="Q80" s="17"/>
      <x:c r="R80" s="17" t="str">
        <x:f>IF(OR(M80="",Q80="",Q80="未结算"),"",SWITCH(Q80,"赢",M80*N80,"输",0,"走水",M80,"取消",M80,"半赢",M80*(1+(N80-1)/2),"半输",M80*0.5,""))</x:f>
      </x:c>
      <x:c r="S80" s="17" t="str">
        <x:f>IF(R80="","",R80-M80)</x:f>
      </x:c>
      <x:c r="T80" s="19" t="str">
        <x:f>IF(OR(M80="",S80=""),"",S80/M80)</x:f>
      </x:c>
      <x:c r="U80" s="17" t="str">
        <x:f>IF(S80="","",'参数'!$B$3+SUM($S$3:S80))</x:f>
      </x:c>
      <x:c r="V80" s="15"/>
      <x:c r="W80" s="15"/>
      <x:c r="X80" s="15"/>
    </x:row>
    <x:row r="81" ht="25.5" customHeight="1">
      <x:c r="A81" s="15" t="str">
        <x:f>IF(D81="","",ROW()-2)</x:f>
      </x:c>
      <x:c r="B81" s="16"/>
      <x:c r="C81" s="15"/>
      <x:c r="D81" s="15"/>
      <x:c r="E81" s="16"/>
      <x:c r="F81" s="15"/>
      <x:c r="G81" s="15"/>
      <x:c r="H81" s="15"/>
      <x:c r="I81" s="15"/>
      <x:c r="J81" s="15"/>
      <x:c r="K81" s="15"/>
      <x:c r="L81" s="17" t="str">
        <x:f>IF(M81="","",'参数'!$B$3+IF(ROW()=3,0,SUM($S$3:INDEX($S:$S,ROW()-1))))</x:f>
      </x:c>
      <x:c r="M81" s="17"/>
      <x:c r="N81" s="18"/>
      <x:c r="O81" s="19" t="str">
        <x:f>IF(OR(M81="",L81=""),"",M81/L81)</x:f>
      </x:c>
      <x:c r="P81" s="17" t="str">
        <x:f>IF(OR(M81="",N81=""),"",M81*N81)</x:f>
      </x:c>
      <x:c r="Q81" s="17"/>
      <x:c r="R81" s="17" t="str">
        <x:f>IF(OR(M81="",Q81="",Q81="未结算"),"",SWITCH(Q81,"赢",M81*N81,"输",0,"走水",M81,"取消",M81,"半赢",M81*(1+(N81-1)/2),"半输",M81*0.5,""))</x:f>
      </x:c>
      <x:c r="S81" s="17" t="str">
        <x:f>IF(R81="","",R81-M81)</x:f>
      </x:c>
      <x:c r="T81" s="19" t="str">
        <x:f>IF(OR(M81="",S81=""),"",S81/M81)</x:f>
      </x:c>
      <x:c r="U81" s="17" t="str">
        <x:f>IF(S81="","",'参数'!$B$3+SUM($S$3:S81))</x:f>
      </x:c>
      <x:c r="V81" s="15"/>
      <x:c r="W81" s="15"/>
      <x:c r="X81" s="15"/>
    </x:row>
    <x:row r="82" ht="25.5" customHeight="1">
      <x:c r="A82" s="15" t="str">
        <x:f>IF(D82="","",ROW()-2)</x:f>
      </x:c>
      <x:c r="B82" s="16"/>
      <x:c r="C82" s="15"/>
      <x:c r="D82" s="15"/>
      <x:c r="E82" s="16"/>
      <x:c r="F82" s="15"/>
      <x:c r="G82" s="15"/>
      <x:c r="H82" s="15"/>
      <x:c r="I82" s="15"/>
      <x:c r="J82" s="15"/>
      <x:c r="K82" s="15"/>
      <x:c r="L82" s="17" t="str">
        <x:f>IF(M82="","",'参数'!$B$3+IF(ROW()=3,0,SUM($S$3:INDEX($S:$S,ROW()-1))))</x:f>
      </x:c>
      <x:c r="M82" s="17"/>
      <x:c r="N82" s="18"/>
      <x:c r="O82" s="19" t="str">
        <x:f>IF(OR(M82="",L82=""),"",M82/L82)</x:f>
      </x:c>
      <x:c r="P82" s="17" t="str">
        <x:f>IF(OR(M82="",N82=""),"",M82*N82)</x:f>
      </x:c>
      <x:c r="Q82" s="17"/>
      <x:c r="R82" s="17" t="str">
        <x:f>IF(OR(M82="",Q82="",Q82="未结算"),"",SWITCH(Q82,"赢",M82*N82,"输",0,"走水",M82,"取消",M82,"半赢",M82*(1+(N82-1)/2),"半输",M82*0.5,""))</x:f>
      </x:c>
      <x:c r="S82" s="17" t="str">
        <x:f>IF(R82="","",R82-M82)</x:f>
      </x:c>
      <x:c r="T82" s="19" t="str">
        <x:f>IF(OR(M82="",S82=""),"",S82/M82)</x:f>
      </x:c>
      <x:c r="U82" s="17" t="str">
        <x:f>IF(S82="","",'参数'!$B$3+SUM($S$3:S82))</x:f>
      </x:c>
      <x:c r="V82" s="15"/>
      <x:c r="W82" s="15"/>
      <x:c r="X82" s="15"/>
    </x:row>
    <x:row r="83" ht="25.5" customHeight="1">
      <x:c r="A83" s="15" t="str">
        <x:f>IF(D83="","",ROW()-2)</x:f>
      </x:c>
      <x:c r="B83" s="16"/>
      <x:c r="C83" s="15"/>
      <x:c r="D83" s="15"/>
      <x:c r="E83" s="16"/>
      <x:c r="F83" s="15"/>
      <x:c r="G83" s="15"/>
      <x:c r="H83" s="15"/>
      <x:c r="I83" s="15"/>
      <x:c r="J83" s="15"/>
      <x:c r="K83" s="15"/>
      <x:c r="L83" s="17" t="str">
        <x:f>IF(M83="","",'参数'!$B$3+IF(ROW()=3,0,SUM($S$3:INDEX($S:$S,ROW()-1))))</x:f>
      </x:c>
      <x:c r="M83" s="17"/>
      <x:c r="N83" s="18"/>
      <x:c r="O83" s="19" t="str">
        <x:f>IF(OR(M83="",L83=""),"",M83/L83)</x:f>
      </x:c>
      <x:c r="P83" s="17" t="str">
        <x:f>IF(OR(M83="",N83=""),"",M83*N83)</x:f>
      </x:c>
      <x:c r="Q83" s="17"/>
      <x:c r="R83" s="17" t="str">
        <x:f>IF(OR(M83="",Q83="",Q83="未结算"),"",SWITCH(Q83,"赢",M83*N83,"输",0,"走水",M83,"取消",M83,"半赢",M83*(1+(N83-1)/2),"半输",M83*0.5,""))</x:f>
      </x:c>
      <x:c r="S83" s="17" t="str">
        <x:f>IF(R83="","",R83-M83)</x:f>
      </x:c>
      <x:c r="T83" s="19" t="str">
        <x:f>IF(OR(M83="",S83=""),"",S83/M83)</x:f>
      </x:c>
      <x:c r="U83" s="17" t="str">
        <x:f>IF(S83="","",'参数'!$B$3+SUM($S$3:S83))</x:f>
      </x:c>
      <x:c r="V83" s="15"/>
      <x:c r="W83" s="15"/>
      <x:c r="X83" s="15"/>
    </x:row>
    <x:row r="84" ht="25.5" customHeight="1">
      <x:c r="A84" s="15" t="str">
        <x:f>IF(D84="","",ROW()-2)</x:f>
      </x:c>
      <x:c r="B84" s="16"/>
      <x:c r="C84" s="15"/>
      <x:c r="D84" s="15"/>
      <x:c r="E84" s="16"/>
      <x:c r="F84" s="15"/>
      <x:c r="G84" s="15"/>
      <x:c r="H84" s="15"/>
      <x:c r="I84" s="15"/>
      <x:c r="J84" s="15"/>
      <x:c r="K84" s="15"/>
      <x:c r="L84" s="17" t="str">
        <x:f>IF(M84="","",'参数'!$B$3+IF(ROW()=3,0,SUM($S$3:INDEX($S:$S,ROW()-1))))</x:f>
      </x:c>
      <x:c r="M84" s="17"/>
      <x:c r="N84" s="18"/>
      <x:c r="O84" s="19" t="str">
        <x:f>IF(OR(M84="",L84=""),"",M84/L84)</x:f>
      </x:c>
      <x:c r="P84" s="17" t="str">
        <x:f>IF(OR(M84="",N84=""),"",M84*N84)</x:f>
      </x:c>
      <x:c r="Q84" s="17"/>
      <x:c r="R84" s="17" t="str">
        <x:f>IF(OR(M84="",Q84="",Q84="未结算"),"",SWITCH(Q84,"赢",M84*N84,"输",0,"走水",M84,"取消",M84,"半赢",M84*(1+(N84-1)/2),"半输",M84*0.5,""))</x:f>
      </x:c>
      <x:c r="S84" s="17" t="str">
        <x:f>IF(R84="","",R84-M84)</x:f>
      </x:c>
      <x:c r="T84" s="19" t="str">
        <x:f>IF(OR(M84="",S84=""),"",S84/M84)</x:f>
      </x:c>
      <x:c r="U84" s="17" t="str">
        <x:f>IF(S84="","",'参数'!$B$3+SUM($S$3:S84))</x:f>
      </x:c>
      <x:c r="V84" s="15"/>
      <x:c r="W84" s="15"/>
      <x:c r="X84" s="15"/>
    </x:row>
    <x:row r="85" ht="25.5" customHeight="1">
      <x:c r="A85" s="15" t="str">
        <x:f>IF(D85="","",ROW()-2)</x:f>
      </x:c>
      <x:c r="B85" s="16"/>
      <x:c r="C85" s="15"/>
      <x:c r="D85" s="15"/>
      <x:c r="E85" s="16"/>
      <x:c r="F85" s="15"/>
      <x:c r="G85" s="15"/>
      <x:c r="H85" s="15"/>
      <x:c r="I85" s="15"/>
      <x:c r="J85" s="15"/>
      <x:c r="K85" s="15"/>
      <x:c r="L85" s="17" t="str">
        <x:f>IF(M85="","",'参数'!$B$3+IF(ROW()=3,0,SUM($S$3:INDEX($S:$S,ROW()-1))))</x:f>
      </x:c>
      <x:c r="M85" s="17"/>
      <x:c r="N85" s="18"/>
      <x:c r="O85" s="19" t="str">
        <x:f>IF(OR(M85="",L85=""),"",M85/L85)</x:f>
      </x:c>
      <x:c r="P85" s="17" t="str">
        <x:f>IF(OR(M85="",N85=""),"",M85*N85)</x:f>
      </x:c>
      <x:c r="Q85" s="17"/>
      <x:c r="R85" s="17" t="str">
        <x:f>IF(OR(M85="",Q85="",Q85="未结算"),"",SWITCH(Q85,"赢",M85*N85,"输",0,"走水",M85,"取消",M85,"半赢",M85*(1+(N85-1)/2),"半输",M85*0.5,""))</x:f>
      </x:c>
      <x:c r="S85" s="17" t="str">
        <x:f>IF(R85="","",R85-M85)</x:f>
      </x:c>
      <x:c r="T85" s="19" t="str">
        <x:f>IF(OR(M85="",S85=""),"",S85/M85)</x:f>
      </x:c>
      <x:c r="U85" s="17" t="str">
        <x:f>IF(S85="","",'参数'!$B$3+SUM($S$3:S85))</x:f>
      </x:c>
      <x:c r="V85" s="15"/>
      <x:c r="W85" s="15"/>
      <x:c r="X85" s="15"/>
    </x:row>
    <x:row r="86" ht="25.5" customHeight="1">
      <x:c r="A86" s="15" t="str">
        <x:f>IF(D86="","",ROW()-2)</x:f>
      </x:c>
      <x:c r="B86" s="16"/>
      <x:c r="C86" s="15"/>
      <x:c r="D86" s="15"/>
      <x:c r="E86" s="16"/>
      <x:c r="F86" s="15"/>
      <x:c r="G86" s="15"/>
      <x:c r="H86" s="15"/>
      <x:c r="I86" s="15"/>
      <x:c r="J86" s="15"/>
      <x:c r="K86" s="15"/>
      <x:c r="L86" s="17" t="str">
        <x:f>IF(M86="","",'参数'!$B$3+IF(ROW()=3,0,SUM($S$3:INDEX($S:$S,ROW()-1))))</x:f>
      </x:c>
      <x:c r="M86" s="17"/>
      <x:c r="N86" s="18"/>
      <x:c r="O86" s="19" t="str">
        <x:f>IF(OR(M86="",L86=""),"",M86/L86)</x:f>
      </x:c>
      <x:c r="P86" s="17" t="str">
        <x:f>IF(OR(M86="",N86=""),"",M86*N86)</x:f>
      </x:c>
      <x:c r="Q86" s="17"/>
      <x:c r="R86" s="17" t="str">
        <x:f>IF(OR(M86="",Q86="",Q86="未结算"),"",SWITCH(Q86,"赢",M86*N86,"输",0,"走水",M86,"取消",M86,"半赢",M86*(1+(N86-1)/2),"半输",M86*0.5,""))</x:f>
      </x:c>
      <x:c r="S86" s="17" t="str">
        <x:f>IF(R86="","",R86-M86)</x:f>
      </x:c>
      <x:c r="T86" s="19" t="str">
        <x:f>IF(OR(M86="",S86=""),"",S86/M86)</x:f>
      </x:c>
      <x:c r="U86" s="17" t="str">
        <x:f>IF(S86="","",'参数'!$B$3+SUM($S$3:S86))</x:f>
      </x:c>
      <x:c r="V86" s="15"/>
      <x:c r="W86" s="15"/>
      <x:c r="X86" s="15"/>
    </x:row>
    <x:row r="87" ht="25.5" customHeight="1">
      <x:c r="A87" s="15" t="str">
        <x:f>IF(D87="","",ROW()-2)</x:f>
      </x:c>
      <x:c r="B87" s="16"/>
      <x:c r="C87" s="15"/>
      <x:c r="D87" s="15"/>
      <x:c r="E87" s="16"/>
      <x:c r="F87" s="15"/>
      <x:c r="G87" s="15"/>
      <x:c r="H87" s="15"/>
      <x:c r="I87" s="15"/>
      <x:c r="J87" s="15"/>
      <x:c r="K87" s="15"/>
      <x:c r="L87" s="17" t="str">
        <x:f>IF(M87="","",'参数'!$B$3+IF(ROW()=3,0,SUM($S$3:INDEX($S:$S,ROW()-1))))</x:f>
      </x:c>
      <x:c r="M87" s="17"/>
      <x:c r="N87" s="18"/>
      <x:c r="O87" s="19" t="str">
        <x:f>IF(OR(M87="",L87=""),"",M87/L87)</x:f>
      </x:c>
      <x:c r="P87" s="17" t="str">
        <x:f>IF(OR(M87="",N87=""),"",M87*N87)</x:f>
      </x:c>
      <x:c r="Q87" s="17"/>
      <x:c r="R87" s="17" t="str">
        <x:f>IF(OR(M87="",Q87="",Q87="未结算"),"",SWITCH(Q87,"赢",M87*N87,"输",0,"走水",M87,"取消",M87,"半赢",M87*(1+(N87-1)/2),"半输",M87*0.5,""))</x:f>
      </x:c>
      <x:c r="S87" s="17" t="str">
        <x:f>IF(R87="","",R87-M87)</x:f>
      </x:c>
      <x:c r="T87" s="19" t="str">
        <x:f>IF(OR(M87="",S87=""),"",S87/M87)</x:f>
      </x:c>
      <x:c r="U87" s="17" t="str">
        <x:f>IF(S87="","",'参数'!$B$3+SUM($S$3:S87))</x:f>
      </x:c>
      <x:c r="V87" s="15"/>
      <x:c r="W87" s="15"/>
      <x:c r="X87" s="15"/>
    </x:row>
    <x:row r="88" ht="25.5" customHeight="1">
      <x:c r="A88" s="15" t="str">
        <x:f>IF(D88="","",ROW()-2)</x:f>
      </x:c>
      <x:c r="B88" s="16"/>
      <x:c r="C88" s="15"/>
      <x:c r="D88" s="15"/>
      <x:c r="E88" s="16"/>
      <x:c r="F88" s="15"/>
      <x:c r="G88" s="15"/>
      <x:c r="H88" s="15"/>
      <x:c r="I88" s="15"/>
      <x:c r="J88" s="15"/>
      <x:c r="K88" s="15"/>
      <x:c r="L88" s="17" t="str">
        <x:f>IF(M88="","",'参数'!$B$3+IF(ROW()=3,0,SUM($S$3:INDEX($S:$S,ROW()-1))))</x:f>
      </x:c>
      <x:c r="M88" s="17"/>
      <x:c r="N88" s="18"/>
      <x:c r="O88" s="19" t="str">
        <x:f>IF(OR(M88="",L88=""),"",M88/L88)</x:f>
      </x:c>
      <x:c r="P88" s="17" t="str">
        <x:f>IF(OR(M88="",N88=""),"",M88*N88)</x:f>
      </x:c>
      <x:c r="Q88" s="17"/>
      <x:c r="R88" s="17" t="str">
        <x:f>IF(OR(M88="",Q88="",Q88="未结算"),"",SWITCH(Q88,"赢",M88*N88,"输",0,"走水",M88,"取消",M88,"半赢",M88*(1+(N88-1)/2),"半输",M88*0.5,""))</x:f>
      </x:c>
      <x:c r="S88" s="17" t="str">
        <x:f>IF(R88="","",R88-M88)</x:f>
      </x:c>
      <x:c r="T88" s="19" t="str">
        <x:f>IF(OR(M88="",S88=""),"",S88/M88)</x:f>
      </x:c>
      <x:c r="U88" s="17" t="str">
        <x:f>IF(S88="","",'参数'!$B$3+SUM($S$3:S88))</x:f>
      </x:c>
      <x:c r="V88" s="15"/>
      <x:c r="W88" s="15"/>
      <x:c r="X88" s="15"/>
    </x:row>
    <x:row r="89" ht="25.5" customHeight="1">
      <x:c r="A89" s="15" t="str">
        <x:f>IF(D89="","",ROW()-2)</x:f>
      </x:c>
      <x:c r="B89" s="16"/>
      <x:c r="C89" s="15"/>
      <x:c r="D89" s="15"/>
      <x:c r="E89" s="16"/>
      <x:c r="F89" s="15"/>
      <x:c r="G89" s="15"/>
      <x:c r="H89" s="15"/>
      <x:c r="I89" s="15"/>
      <x:c r="J89" s="15"/>
      <x:c r="K89" s="15"/>
      <x:c r="L89" s="17" t="str">
        <x:f>IF(M89="","",'参数'!$B$3+IF(ROW()=3,0,SUM($S$3:INDEX($S:$S,ROW()-1))))</x:f>
      </x:c>
      <x:c r="M89" s="17"/>
      <x:c r="N89" s="18"/>
      <x:c r="O89" s="19" t="str">
        <x:f>IF(OR(M89="",L89=""),"",M89/L89)</x:f>
      </x:c>
      <x:c r="P89" s="17" t="str">
        <x:f>IF(OR(M89="",N89=""),"",M89*N89)</x:f>
      </x:c>
      <x:c r="Q89" s="17"/>
      <x:c r="R89" s="17" t="str">
        <x:f>IF(OR(M89="",Q89="",Q89="未结算"),"",SWITCH(Q89,"赢",M89*N89,"输",0,"走水",M89,"取消",M89,"半赢",M89*(1+(N89-1)/2),"半输",M89*0.5,""))</x:f>
      </x:c>
      <x:c r="S89" s="17" t="str">
        <x:f>IF(R89="","",R89-M89)</x:f>
      </x:c>
      <x:c r="T89" s="19" t="str">
        <x:f>IF(OR(M89="",S89=""),"",S89/M89)</x:f>
      </x:c>
      <x:c r="U89" s="17" t="str">
        <x:f>IF(S89="","",'参数'!$B$3+SUM($S$3:S89))</x:f>
      </x:c>
      <x:c r="V89" s="15"/>
      <x:c r="W89" s="15"/>
      <x:c r="X89" s="15"/>
    </x:row>
    <x:row r="90" ht="25.5" customHeight="1">
      <x:c r="A90" s="15" t="str">
        <x:f>IF(D90="","",ROW()-2)</x:f>
      </x:c>
      <x:c r="B90" s="16"/>
      <x:c r="C90" s="15"/>
      <x:c r="D90" s="15"/>
      <x:c r="E90" s="16"/>
      <x:c r="F90" s="15"/>
      <x:c r="G90" s="15"/>
      <x:c r="H90" s="15"/>
      <x:c r="I90" s="15"/>
      <x:c r="J90" s="15"/>
      <x:c r="K90" s="15"/>
      <x:c r="L90" s="17" t="str">
        <x:f>IF(M90="","",'参数'!$B$3+IF(ROW()=3,0,SUM($S$3:INDEX($S:$S,ROW()-1))))</x:f>
      </x:c>
      <x:c r="M90" s="17"/>
      <x:c r="N90" s="18"/>
      <x:c r="O90" s="19" t="str">
        <x:f>IF(OR(M90="",L90=""),"",M90/L90)</x:f>
      </x:c>
      <x:c r="P90" s="17" t="str">
        <x:f>IF(OR(M90="",N90=""),"",M90*N90)</x:f>
      </x:c>
      <x:c r="Q90" s="17"/>
      <x:c r="R90" s="17" t="str">
        <x:f>IF(OR(M90="",Q90="",Q90="未结算"),"",SWITCH(Q90,"赢",M90*N90,"输",0,"走水",M90,"取消",M90,"半赢",M90*(1+(N90-1)/2),"半输",M90*0.5,""))</x:f>
      </x:c>
      <x:c r="S90" s="17" t="str">
        <x:f>IF(R90="","",R90-M90)</x:f>
      </x:c>
      <x:c r="T90" s="19" t="str">
        <x:f>IF(OR(M90="",S90=""),"",S90/M90)</x:f>
      </x:c>
      <x:c r="U90" s="17" t="str">
        <x:f>IF(S90="","",'参数'!$B$3+SUM($S$3:S90))</x:f>
      </x:c>
      <x:c r="V90" s="15"/>
      <x:c r="W90" s="15"/>
      <x:c r="X90" s="15"/>
    </x:row>
    <x:row r="91" ht="25.5" customHeight="1">
      <x:c r="A91" s="15" t="str">
        <x:f>IF(D91="","",ROW()-2)</x:f>
      </x:c>
      <x:c r="B91" s="16"/>
      <x:c r="C91" s="15"/>
      <x:c r="D91" s="15"/>
      <x:c r="E91" s="16"/>
      <x:c r="F91" s="15"/>
      <x:c r="G91" s="15"/>
      <x:c r="H91" s="15"/>
      <x:c r="I91" s="15"/>
      <x:c r="J91" s="15"/>
      <x:c r="K91" s="15"/>
      <x:c r="L91" s="17" t="str">
        <x:f>IF(M91="","",'参数'!$B$3+IF(ROW()=3,0,SUM($S$3:INDEX($S:$S,ROW()-1))))</x:f>
      </x:c>
      <x:c r="M91" s="17"/>
      <x:c r="N91" s="18"/>
      <x:c r="O91" s="19" t="str">
        <x:f>IF(OR(M91="",L91=""),"",M91/L91)</x:f>
      </x:c>
      <x:c r="P91" s="17" t="str">
        <x:f>IF(OR(M91="",N91=""),"",M91*N91)</x:f>
      </x:c>
      <x:c r="Q91" s="17"/>
      <x:c r="R91" s="17" t="str">
        <x:f>IF(OR(M91="",Q91="",Q91="未结算"),"",SWITCH(Q91,"赢",M91*N91,"输",0,"走水",M91,"取消",M91,"半赢",M91*(1+(N91-1)/2),"半输",M91*0.5,""))</x:f>
      </x:c>
      <x:c r="S91" s="17" t="str">
        <x:f>IF(R91="","",R91-M91)</x:f>
      </x:c>
      <x:c r="T91" s="19" t="str">
        <x:f>IF(OR(M91="",S91=""),"",S91/M91)</x:f>
      </x:c>
      <x:c r="U91" s="17" t="str">
        <x:f>IF(S91="","",'参数'!$B$3+SUM($S$3:S91))</x:f>
      </x:c>
      <x:c r="V91" s="15"/>
      <x:c r="W91" s="15"/>
      <x:c r="X91" s="15"/>
    </x:row>
    <x:row r="92" ht="25.5" customHeight="1">
      <x:c r="A92" s="15" t="str">
        <x:f>IF(D92="","",ROW()-2)</x:f>
      </x:c>
      <x:c r="B92" s="16"/>
      <x:c r="C92" s="15"/>
      <x:c r="D92" s="15"/>
      <x:c r="E92" s="16"/>
      <x:c r="F92" s="15"/>
      <x:c r="G92" s="15"/>
      <x:c r="H92" s="15"/>
      <x:c r="I92" s="15"/>
      <x:c r="J92" s="15"/>
      <x:c r="K92" s="15"/>
      <x:c r="L92" s="17" t="str">
        <x:f>IF(M92="","",'参数'!$B$3+IF(ROW()=3,0,SUM($S$3:INDEX($S:$S,ROW()-1))))</x:f>
      </x:c>
      <x:c r="M92" s="17"/>
      <x:c r="N92" s="18"/>
      <x:c r="O92" s="19" t="str">
        <x:f>IF(OR(M92="",L92=""),"",M92/L92)</x:f>
      </x:c>
      <x:c r="P92" s="17" t="str">
        <x:f>IF(OR(M92="",N92=""),"",M92*N92)</x:f>
      </x:c>
      <x:c r="Q92" s="17"/>
      <x:c r="R92" s="17" t="str">
        <x:f>IF(OR(M92="",Q92="",Q92="未结算"),"",SWITCH(Q92,"赢",M92*N92,"输",0,"走水",M92,"取消",M92,"半赢",M92*(1+(N92-1)/2),"半输",M92*0.5,""))</x:f>
      </x:c>
      <x:c r="S92" s="17" t="str">
        <x:f>IF(R92="","",R92-M92)</x:f>
      </x:c>
      <x:c r="T92" s="19" t="str">
        <x:f>IF(OR(M92="",S92=""),"",S92/M92)</x:f>
      </x:c>
      <x:c r="U92" s="17" t="str">
        <x:f>IF(S92="","",'参数'!$B$3+SUM($S$3:S92))</x:f>
      </x:c>
      <x:c r="V92" s="15"/>
      <x:c r="W92" s="15"/>
      <x:c r="X92" s="15"/>
    </x:row>
    <x:row r="93" ht="25.5" customHeight="1">
      <x:c r="A93" s="15" t="str">
        <x:f>IF(D93="","",ROW()-2)</x:f>
      </x:c>
      <x:c r="B93" s="16"/>
      <x:c r="C93" s="15"/>
      <x:c r="D93" s="15"/>
      <x:c r="E93" s="16"/>
      <x:c r="F93" s="15"/>
      <x:c r="G93" s="15"/>
      <x:c r="H93" s="15"/>
      <x:c r="I93" s="15"/>
      <x:c r="J93" s="15"/>
      <x:c r="K93" s="15"/>
      <x:c r="L93" s="17" t="str">
        <x:f>IF(M93="","",'参数'!$B$3+IF(ROW()=3,0,SUM($S$3:INDEX($S:$S,ROW()-1))))</x:f>
      </x:c>
      <x:c r="M93" s="17"/>
      <x:c r="N93" s="18"/>
      <x:c r="O93" s="19" t="str">
        <x:f>IF(OR(M93="",L93=""),"",M93/L93)</x:f>
      </x:c>
      <x:c r="P93" s="17" t="str">
        <x:f>IF(OR(M93="",N93=""),"",M93*N93)</x:f>
      </x:c>
      <x:c r="Q93" s="17"/>
      <x:c r="R93" s="17" t="str">
        <x:f>IF(OR(M93="",Q93="",Q93="未结算"),"",SWITCH(Q93,"赢",M93*N93,"输",0,"走水",M93,"取消",M93,"半赢",M93*(1+(N93-1)/2),"半输",M93*0.5,""))</x:f>
      </x:c>
      <x:c r="S93" s="17" t="str">
        <x:f>IF(R93="","",R93-M93)</x:f>
      </x:c>
      <x:c r="T93" s="19" t="str">
        <x:f>IF(OR(M93="",S93=""),"",S93/M93)</x:f>
      </x:c>
      <x:c r="U93" s="17" t="str">
        <x:f>IF(S93="","",'参数'!$B$3+SUM($S$3:S93))</x:f>
      </x:c>
      <x:c r="V93" s="15"/>
      <x:c r="W93" s="15"/>
      <x:c r="X93" s="15"/>
    </x:row>
    <x:row r="94" ht="25.5" customHeight="1">
      <x:c r="A94" s="15" t="str">
        <x:f>IF(D94="","",ROW()-2)</x:f>
      </x:c>
      <x:c r="B94" s="16"/>
      <x:c r="C94" s="15"/>
      <x:c r="D94" s="15"/>
      <x:c r="E94" s="16"/>
      <x:c r="F94" s="15"/>
      <x:c r="G94" s="15"/>
      <x:c r="H94" s="15"/>
      <x:c r="I94" s="15"/>
      <x:c r="J94" s="15"/>
      <x:c r="K94" s="15"/>
      <x:c r="L94" s="17" t="str">
        <x:f>IF(M94="","",'参数'!$B$3+IF(ROW()=3,0,SUM($S$3:INDEX($S:$S,ROW()-1))))</x:f>
      </x:c>
      <x:c r="M94" s="17"/>
      <x:c r="N94" s="18"/>
      <x:c r="O94" s="19" t="str">
        <x:f>IF(OR(M94="",L94=""),"",M94/L94)</x:f>
      </x:c>
      <x:c r="P94" s="17" t="str">
        <x:f>IF(OR(M94="",N94=""),"",M94*N94)</x:f>
      </x:c>
      <x:c r="Q94" s="17"/>
      <x:c r="R94" s="17" t="str">
        <x:f>IF(OR(M94="",Q94="",Q94="未结算"),"",SWITCH(Q94,"赢",M94*N94,"输",0,"走水",M94,"取消",M94,"半赢",M94*(1+(N94-1)/2),"半输",M94*0.5,""))</x:f>
      </x:c>
      <x:c r="S94" s="17" t="str">
        <x:f>IF(R94="","",R94-M94)</x:f>
      </x:c>
      <x:c r="T94" s="19" t="str">
        <x:f>IF(OR(M94="",S94=""),"",S94/M94)</x:f>
      </x:c>
      <x:c r="U94" s="17" t="str">
        <x:f>IF(S94="","",'参数'!$B$3+SUM($S$3:S94))</x:f>
      </x:c>
      <x:c r="V94" s="15"/>
      <x:c r="W94" s="15"/>
      <x:c r="X94" s="15"/>
    </x:row>
    <x:row r="95" ht="25.5" customHeight="1">
      <x:c r="A95" s="15" t="str">
        <x:f>IF(D95="","",ROW()-2)</x:f>
      </x:c>
      <x:c r="B95" s="16"/>
      <x:c r="C95" s="15"/>
      <x:c r="D95" s="15"/>
      <x:c r="E95" s="16"/>
      <x:c r="F95" s="15"/>
      <x:c r="G95" s="15"/>
      <x:c r="H95" s="15"/>
      <x:c r="I95" s="15"/>
      <x:c r="J95" s="15"/>
      <x:c r="K95" s="15"/>
      <x:c r="L95" s="17" t="str">
        <x:f>IF(M95="","",'参数'!$B$3+IF(ROW()=3,0,SUM($S$3:INDEX($S:$S,ROW()-1))))</x:f>
      </x:c>
      <x:c r="M95" s="17"/>
      <x:c r="N95" s="18"/>
      <x:c r="O95" s="19" t="str">
        <x:f>IF(OR(M95="",L95=""),"",M95/L95)</x:f>
      </x:c>
      <x:c r="P95" s="17" t="str">
        <x:f>IF(OR(M95="",N95=""),"",M95*N95)</x:f>
      </x:c>
      <x:c r="Q95" s="17"/>
      <x:c r="R95" s="17" t="str">
        <x:f>IF(OR(M95="",Q95="",Q95="未结算"),"",SWITCH(Q95,"赢",M95*N95,"输",0,"走水",M95,"取消",M95,"半赢",M95*(1+(N95-1)/2),"半输",M95*0.5,""))</x:f>
      </x:c>
      <x:c r="S95" s="17" t="str">
        <x:f>IF(R95="","",R95-M95)</x:f>
      </x:c>
      <x:c r="T95" s="19" t="str">
        <x:f>IF(OR(M95="",S95=""),"",S95/M95)</x:f>
      </x:c>
      <x:c r="U95" s="17" t="str">
        <x:f>IF(S95="","",'参数'!$B$3+SUM($S$3:S95))</x:f>
      </x:c>
      <x:c r="V95" s="15"/>
      <x:c r="W95" s="15"/>
      <x:c r="X95" s="15"/>
    </x:row>
    <x:row r="96" ht="25.5" customHeight="1">
      <x:c r="A96" s="15" t="str">
        <x:f>IF(D96="","",ROW()-2)</x:f>
      </x:c>
      <x:c r="B96" s="16"/>
      <x:c r="C96" s="15"/>
      <x:c r="D96" s="15"/>
      <x:c r="E96" s="16"/>
      <x:c r="F96" s="15"/>
      <x:c r="G96" s="15"/>
      <x:c r="H96" s="15"/>
      <x:c r="I96" s="15"/>
      <x:c r="J96" s="15"/>
      <x:c r="K96" s="15"/>
      <x:c r="L96" s="17" t="str">
        <x:f>IF(M96="","",'参数'!$B$3+IF(ROW()=3,0,SUM($S$3:INDEX($S:$S,ROW()-1))))</x:f>
      </x:c>
      <x:c r="M96" s="17"/>
      <x:c r="N96" s="18"/>
      <x:c r="O96" s="19" t="str">
        <x:f>IF(OR(M96="",L96=""),"",M96/L96)</x:f>
      </x:c>
      <x:c r="P96" s="17" t="str">
        <x:f>IF(OR(M96="",N96=""),"",M96*N96)</x:f>
      </x:c>
      <x:c r="Q96" s="17"/>
      <x:c r="R96" s="17" t="str">
        <x:f>IF(OR(M96="",Q96="",Q96="未结算"),"",SWITCH(Q96,"赢",M96*N96,"输",0,"走水",M96,"取消",M96,"半赢",M96*(1+(N96-1)/2),"半输",M96*0.5,""))</x:f>
      </x:c>
      <x:c r="S96" s="17" t="str">
        <x:f>IF(R96="","",R96-M96)</x:f>
      </x:c>
      <x:c r="T96" s="19" t="str">
        <x:f>IF(OR(M96="",S96=""),"",S96/M96)</x:f>
      </x:c>
      <x:c r="U96" s="17" t="str">
        <x:f>IF(S96="","",'参数'!$B$3+SUM($S$3:S96))</x:f>
      </x:c>
      <x:c r="V96" s="15"/>
      <x:c r="W96" s="15"/>
      <x:c r="X96" s="15"/>
    </x:row>
    <x:row r="97" ht="25.5" customHeight="1">
      <x:c r="A97" s="15" t="str">
        <x:f>IF(D97="","",ROW()-2)</x:f>
      </x:c>
      <x:c r="B97" s="16"/>
      <x:c r="C97" s="15"/>
      <x:c r="D97" s="15"/>
      <x:c r="E97" s="16"/>
      <x:c r="F97" s="15"/>
      <x:c r="G97" s="15"/>
      <x:c r="H97" s="15"/>
      <x:c r="I97" s="15"/>
      <x:c r="J97" s="15"/>
      <x:c r="K97" s="15"/>
      <x:c r="L97" s="17" t="str">
        <x:f>IF(M97="","",'参数'!$B$3+IF(ROW()=3,0,SUM($S$3:INDEX($S:$S,ROW()-1))))</x:f>
      </x:c>
      <x:c r="M97" s="17"/>
      <x:c r="N97" s="18"/>
      <x:c r="O97" s="19" t="str">
        <x:f>IF(OR(M97="",L97=""),"",M97/L97)</x:f>
      </x:c>
      <x:c r="P97" s="17" t="str">
        <x:f>IF(OR(M97="",N97=""),"",M97*N97)</x:f>
      </x:c>
      <x:c r="Q97" s="17"/>
      <x:c r="R97" s="17" t="str">
        <x:f>IF(OR(M97="",Q97="",Q97="未结算"),"",SWITCH(Q97,"赢",M97*N97,"输",0,"走水",M97,"取消",M97,"半赢",M97*(1+(N97-1)/2),"半输",M97*0.5,""))</x:f>
      </x:c>
      <x:c r="S97" s="17" t="str">
        <x:f>IF(R97="","",R97-M97)</x:f>
      </x:c>
      <x:c r="T97" s="19" t="str">
        <x:f>IF(OR(M97="",S97=""),"",S97/M97)</x:f>
      </x:c>
      <x:c r="U97" s="17" t="str">
        <x:f>IF(S97="","",'参数'!$B$3+SUM($S$3:S97))</x:f>
      </x:c>
      <x:c r="V97" s="15"/>
      <x:c r="W97" s="15"/>
      <x:c r="X97" s="15"/>
    </x:row>
    <x:row r="98" ht="25.5" customHeight="1">
      <x:c r="A98" s="15" t="str">
        <x:f>IF(D98="","",ROW()-2)</x:f>
      </x:c>
      <x:c r="B98" s="16"/>
      <x:c r="C98" s="15"/>
      <x:c r="D98" s="15"/>
      <x:c r="E98" s="16"/>
      <x:c r="F98" s="15"/>
      <x:c r="G98" s="15"/>
      <x:c r="H98" s="15"/>
      <x:c r="I98" s="15"/>
      <x:c r="J98" s="15"/>
      <x:c r="K98" s="15"/>
      <x:c r="L98" s="17" t="str">
        <x:f>IF(M98="","",'参数'!$B$3+IF(ROW()=3,0,SUM($S$3:INDEX($S:$S,ROW()-1))))</x:f>
      </x:c>
      <x:c r="M98" s="17"/>
      <x:c r="N98" s="18"/>
      <x:c r="O98" s="19" t="str">
        <x:f>IF(OR(M98="",L98=""),"",M98/L98)</x:f>
      </x:c>
      <x:c r="P98" s="17" t="str">
        <x:f>IF(OR(M98="",N98=""),"",M98*N98)</x:f>
      </x:c>
      <x:c r="Q98" s="17"/>
      <x:c r="R98" s="17" t="str">
        <x:f>IF(OR(M98="",Q98="",Q98="未结算"),"",SWITCH(Q98,"赢",M98*N98,"输",0,"走水",M98,"取消",M98,"半赢",M98*(1+(N98-1)/2),"半输",M98*0.5,""))</x:f>
      </x:c>
      <x:c r="S98" s="17" t="str">
        <x:f>IF(R98="","",R98-M98)</x:f>
      </x:c>
      <x:c r="T98" s="19" t="str">
        <x:f>IF(OR(M98="",S98=""),"",S98/M98)</x:f>
      </x:c>
      <x:c r="U98" s="17" t="str">
        <x:f>IF(S98="","",'参数'!$B$3+SUM($S$3:S98))</x:f>
      </x:c>
      <x:c r="V98" s="15"/>
      <x:c r="W98" s="15"/>
      <x:c r="X98" s="15"/>
    </x:row>
    <x:row r="99" ht="25.5" customHeight="1">
      <x:c r="A99" s="15" t="str">
        <x:f>IF(D99="","",ROW()-2)</x:f>
      </x:c>
      <x:c r="B99" s="16"/>
      <x:c r="C99" s="15"/>
      <x:c r="D99" s="15"/>
      <x:c r="E99" s="16"/>
      <x:c r="F99" s="15"/>
      <x:c r="G99" s="15"/>
      <x:c r="H99" s="15"/>
      <x:c r="I99" s="15"/>
      <x:c r="J99" s="15"/>
      <x:c r="K99" s="15"/>
      <x:c r="L99" s="17" t="str">
        <x:f>IF(M99="","",'参数'!$B$3+IF(ROW()=3,0,SUM($S$3:INDEX($S:$S,ROW()-1))))</x:f>
      </x:c>
      <x:c r="M99" s="17"/>
      <x:c r="N99" s="18"/>
      <x:c r="O99" s="19" t="str">
        <x:f>IF(OR(M99="",L99=""),"",M99/L99)</x:f>
      </x:c>
      <x:c r="P99" s="17" t="str">
        <x:f>IF(OR(M99="",N99=""),"",M99*N99)</x:f>
      </x:c>
      <x:c r="Q99" s="17"/>
      <x:c r="R99" s="17" t="str">
        <x:f>IF(OR(M99="",Q99="",Q99="未结算"),"",SWITCH(Q99,"赢",M99*N99,"输",0,"走水",M99,"取消",M99,"半赢",M99*(1+(N99-1)/2),"半输",M99*0.5,""))</x:f>
      </x:c>
      <x:c r="S99" s="17" t="str">
        <x:f>IF(R99="","",R99-M99)</x:f>
      </x:c>
      <x:c r="T99" s="19" t="str">
        <x:f>IF(OR(M99="",S99=""),"",S99/M99)</x:f>
      </x:c>
      <x:c r="U99" s="17" t="str">
        <x:f>IF(S99="","",'参数'!$B$3+SUM($S$3:S99))</x:f>
      </x:c>
      <x:c r="V99" s="15"/>
      <x:c r="W99" s="15"/>
      <x:c r="X99" s="15"/>
    </x:row>
    <x:row r="100" ht="25.5" customHeight="1">
      <x:c r="A100" s="15" t="str">
        <x:f>IF(D100="","",ROW()-2)</x:f>
      </x:c>
      <x:c r="B100" s="16"/>
      <x:c r="C100" s="15"/>
      <x:c r="D100" s="15"/>
      <x:c r="E100" s="16"/>
      <x:c r="F100" s="15"/>
      <x:c r="G100" s="15"/>
      <x:c r="H100" s="15"/>
      <x:c r="I100" s="15"/>
      <x:c r="J100" s="15"/>
      <x:c r="K100" s="15"/>
      <x:c r="L100" s="17" t="str">
        <x:f>IF(M100="","",'参数'!$B$3+IF(ROW()=3,0,SUM($S$3:INDEX($S:$S,ROW()-1))))</x:f>
      </x:c>
      <x:c r="M100" s="17"/>
      <x:c r="N100" s="18"/>
      <x:c r="O100" s="19" t="str">
        <x:f>IF(OR(M100="",L100=""),"",M100/L100)</x:f>
      </x:c>
      <x:c r="P100" s="17" t="str">
        <x:f>IF(OR(M100="",N100=""),"",M100*N100)</x:f>
      </x:c>
      <x:c r="Q100" s="17"/>
      <x:c r="R100" s="17" t="str">
        <x:f>IF(OR(M100="",Q100="",Q100="未结算"),"",SWITCH(Q100,"赢",M100*N100,"输",0,"走水",M100,"取消",M100,"半赢",M100*(1+(N100-1)/2),"半输",M100*0.5,""))</x:f>
      </x:c>
      <x:c r="S100" s="17" t="str">
        <x:f>IF(R100="","",R100-M100)</x:f>
      </x:c>
      <x:c r="T100" s="19" t="str">
        <x:f>IF(OR(M100="",S100=""),"",S100/M100)</x:f>
      </x:c>
      <x:c r="U100" s="17" t="str">
        <x:f>IF(S100="","",'参数'!$B$3+SUM($S$3:S100))</x:f>
      </x:c>
      <x:c r="V100" s="15"/>
      <x:c r="W100" s="15"/>
      <x:c r="X100" s="15"/>
    </x:row>
    <x:row r="101" ht="25.5" customHeight="1">
      <x:c r="A101" s="15" t="str">
        <x:f>IF(D101="","",ROW()-2)</x:f>
      </x:c>
      <x:c r="B101" s="16"/>
      <x:c r="C101" s="15"/>
      <x:c r="D101" s="15"/>
      <x:c r="E101" s="16"/>
      <x:c r="F101" s="15"/>
      <x:c r="G101" s="15"/>
      <x:c r="H101" s="15"/>
      <x:c r="I101" s="15"/>
      <x:c r="J101" s="15"/>
      <x:c r="K101" s="15"/>
      <x:c r="L101" s="17" t="str">
        <x:f>IF(M101="","",'参数'!$B$3+IF(ROW()=3,0,SUM($S$3:INDEX($S:$S,ROW()-1))))</x:f>
      </x:c>
      <x:c r="M101" s="17"/>
      <x:c r="N101" s="18"/>
      <x:c r="O101" s="19" t="str">
        <x:f>IF(OR(M101="",L101=""),"",M101/L101)</x:f>
      </x:c>
      <x:c r="P101" s="17" t="str">
        <x:f>IF(OR(M101="",N101=""),"",M101*N101)</x:f>
      </x:c>
      <x:c r="Q101" s="17"/>
      <x:c r="R101" s="17" t="str">
        <x:f>IF(OR(M101="",Q101="",Q101="未结算"),"",SWITCH(Q101,"赢",M101*N101,"输",0,"走水",M101,"取消",M101,"半赢",M101*(1+(N101-1)/2),"半输",M101*0.5,""))</x:f>
      </x:c>
      <x:c r="S101" s="17" t="str">
        <x:f>IF(R101="","",R101-M101)</x:f>
      </x:c>
      <x:c r="T101" s="19" t="str">
        <x:f>IF(OR(M101="",S101=""),"",S101/M101)</x:f>
      </x:c>
      <x:c r="U101" s="17" t="str">
        <x:f>IF(S101="","",'参数'!$B$3+SUM($S$3:S101))</x:f>
      </x:c>
      <x:c r="V101" s="15"/>
      <x:c r="W101" s="15"/>
      <x:c r="X101" s="15"/>
    </x:row>
    <x:row r="102" ht="25.5" customHeight="1">
      <x:c r="A102" s="15" t="str">
        <x:f>IF(D102="","",ROW()-2)</x:f>
      </x:c>
      <x:c r="B102" s="16"/>
      <x:c r="C102" s="15"/>
      <x:c r="D102" s="15"/>
      <x:c r="E102" s="16"/>
      <x:c r="F102" s="15"/>
      <x:c r="G102" s="15"/>
      <x:c r="H102" s="15"/>
      <x:c r="I102" s="15"/>
      <x:c r="J102" s="15"/>
      <x:c r="K102" s="15"/>
      <x:c r="L102" s="17" t="str">
        <x:f>IF(M102="","",'参数'!$B$3+IF(ROW()=3,0,SUM($S$3:INDEX($S:$S,ROW()-1))))</x:f>
      </x:c>
      <x:c r="M102" s="17"/>
      <x:c r="N102" s="18"/>
      <x:c r="O102" s="19" t="str">
        <x:f>IF(OR(M102="",L102=""),"",M102/L102)</x:f>
      </x:c>
      <x:c r="P102" s="17" t="str">
        <x:f>IF(OR(M102="",N102=""),"",M102*N102)</x:f>
      </x:c>
      <x:c r="Q102" s="17"/>
      <x:c r="R102" s="17" t="str">
        <x:f>IF(OR(M102="",Q102="",Q102="未结算"),"",SWITCH(Q102,"赢",M102*N102,"输",0,"走水",M102,"取消",M102,"半赢",M102*(1+(N102-1)/2),"半输",M102*0.5,""))</x:f>
      </x:c>
      <x:c r="S102" s="17" t="str">
        <x:f>IF(R102="","",R102-M102)</x:f>
      </x:c>
      <x:c r="T102" s="19" t="str">
        <x:f>IF(OR(M102="",S102=""),"",S102/M102)</x:f>
      </x:c>
      <x:c r="U102" s="17" t="str">
        <x:f>IF(S102="","",'参数'!$B$3+SUM($S$3:S102))</x:f>
      </x:c>
      <x:c r="V102" s="15"/>
      <x:c r="W102" s="15"/>
      <x:c r="X102" s="15"/>
    </x:row>
    <x:row r="103" ht="25.5" customHeight="1">
      <x:c r="A103" s="15" t="str">
        <x:f>IF(D103="","",ROW()-2)</x:f>
      </x:c>
      <x:c r="B103" s="16"/>
      <x:c r="C103" s="15"/>
      <x:c r="D103" s="15"/>
      <x:c r="E103" s="16"/>
      <x:c r="F103" s="15"/>
      <x:c r="G103" s="15"/>
      <x:c r="H103" s="15"/>
      <x:c r="I103" s="15"/>
      <x:c r="J103" s="15"/>
      <x:c r="K103" s="15"/>
      <x:c r="L103" s="17" t="str">
        <x:f>IF(M103="","",'参数'!$B$3+IF(ROW()=3,0,SUM($S$3:INDEX($S:$S,ROW()-1))))</x:f>
      </x:c>
      <x:c r="M103" s="17"/>
      <x:c r="N103" s="18"/>
      <x:c r="O103" s="19" t="str">
        <x:f>IF(OR(M103="",L103=""),"",M103/L103)</x:f>
      </x:c>
      <x:c r="P103" s="17" t="str">
        <x:f>IF(OR(M103="",N103=""),"",M103*N103)</x:f>
      </x:c>
      <x:c r="Q103" s="17"/>
      <x:c r="R103" s="17" t="str">
        <x:f>IF(OR(M103="",Q103="",Q103="未结算"),"",SWITCH(Q103,"赢",M103*N103,"输",0,"走水",M103,"取消",M103,"半赢",M103*(1+(N103-1)/2),"半输",M103*0.5,""))</x:f>
      </x:c>
      <x:c r="S103" s="17" t="str">
        <x:f>IF(R103="","",R103-M103)</x:f>
      </x:c>
      <x:c r="T103" s="19" t="str">
        <x:f>IF(OR(M103="",S103=""),"",S103/M103)</x:f>
      </x:c>
      <x:c r="U103" s="17" t="str">
        <x:f>IF(S103="","",'参数'!$B$3+SUM($S$3:S103))</x:f>
      </x:c>
      <x:c r="V103" s="15"/>
      <x:c r="W103" s="15"/>
      <x:c r="X103" s="15"/>
    </x:row>
    <x:row r="104" ht="25.5" customHeight="1">
      <x:c r="A104" s="15" t="str">
        <x:f>IF(D104="","",ROW()-2)</x:f>
      </x:c>
      <x:c r="B104" s="16"/>
      <x:c r="C104" s="15"/>
      <x:c r="D104" s="15"/>
      <x:c r="E104" s="16"/>
      <x:c r="F104" s="15"/>
      <x:c r="G104" s="15"/>
      <x:c r="H104" s="15"/>
      <x:c r="I104" s="15"/>
      <x:c r="J104" s="15"/>
      <x:c r="K104" s="15"/>
      <x:c r="L104" s="17" t="str">
        <x:f>IF(M104="","",'参数'!$B$3+IF(ROW()=3,0,SUM($S$3:INDEX($S:$S,ROW()-1))))</x:f>
      </x:c>
      <x:c r="M104" s="17"/>
      <x:c r="N104" s="18"/>
      <x:c r="O104" s="19" t="str">
        <x:f>IF(OR(M104="",L104=""),"",M104/L104)</x:f>
      </x:c>
      <x:c r="P104" s="17" t="str">
        <x:f>IF(OR(M104="",N104=""),"",M104*N104)</x:f>
      </x:c>
      <x:c r="Q104" s="17"/>
      <x:c r="R104" s="17" t="str">
        <x:f>IF(OR(M104="",Q104="",Q104="未结算"),"",SWITCH(Q104,"赢",M104*N104,"输",0,"走水",M104,"取消",M104,"半赢",M104*(1+(N104-1)/2),"半输",M104*0.5,""))</x:f>
      </x:c>
      <x:c r="S104" s="17" t="str">
        <x:f>IF(R104="","",R104-M104)</x:f>
      </x:c>
      <x:c r="T104" s="19" t="str">
        <x:f>IF(OR(M104="",S104=""),"",S104/M104)</x:f>
      </x:c>
      <x:c r="U104" s="17" t="str">
        <x:f>IF(S104="","",'参数'!$B$3+SUM($S$3:S104))</x:f>
      </x:c>
      <x:c r="V104" s="15"/>
      <x:c r="W104" s="15"/>
      <x:c r="X104" s="15"/>
    </x:row>
    <x:row r="105" ht="25.5" customHeight="1">
      <x:c r="A105" s="15" t="str">
        <x:f>IF(D105="","",ROW()-2)</x:f>
      </x:c>
      <x:c r="B105" s="16"/>
      <x:c r="C105" s="15"/>
      <x:c r="D105" s="15"/>
      <x:c r="E105" s="16"/>
      <x:c r="F105" s="15"/>
      <x:c r="G105" s="15"/>
      <x:c r="H105" s="15"/>
      <x:c r="I105" s="15"/>
      <x:c r="J105" s="15"/>
      <x:c r="K105" s="15"/>
      <x:c r="L105" s="17" t="str">
        <x:f>IF(M105="","",'参数'!$B$3+IF(ROW()=3,0,SUM($S$3:INDEX($S:$S,ROW()-1))))</x:f>
      </x:c>
      <x:c r="M105" s="17"/>
      <x:c r="N105" s="18"/>
      <x:c r="O105" s="19" t="str">
        <x:f>IF(OR(M105="",L105=""),"",M105/L105)</x:f>
      </x:c>
      <x:c r="P105" s="17" t="str">
        <x:f>IF(OR(M105="",N105=""),"",M105*N105)</x:f>
      </x:c>
      <x:c r="Q105" s="17"/>
      <x:c r="R105" s="17" t="str">
        <x:f>IF(OR(M105="",Q105="",Q105="未结算"),"",SWITCH(Q105,"赢",M105*N105,"输",0,"走水",M105,"取消",M105,"半赢",M105*(1+(N105-1)/2),"半输",M105*0.5,""))</x:f>
      </x:c>
      <x:c r="S105" s="17" t="str">
        <x:f>IF(R105="","",R105-M105)</x:f>
      </x:c>
      <x:c r="T105" s="19" t="str">
        <x:f>IF(OR(M105="",S105=""),"",S105/M105)</x:f>
      </x:c>
      <x:c r="U105" s="17" t="str">
        <x:f>IF(S105="","",'参数'!$B$3+SUM($S$3:S105))</x:f>
      </x:c>
      <x:c r="V105" s="15"/>
      <x:c r="W105" s="15"/>
      <x:c r="X105" s="15"/>
    </x:row>
    <x:row r="106" ht="25.5" customHeight="1">
      <x:c r="A106" s="15" t="str">
        <x:f>IF(D106="","",ROW()-2)</x:f>
      </x:c>
      <x:c r="B106" s="16"/>
      <x:c r="C106" s="15"/>
      <x:c r="D106" s="15"/>
      <x:c r="E106" s="16"/>
      <x:c r="F106" s="15"/>
      <x:c r="G106" s="15"/>
      <x:c r="H106" s="15"/>
      <x:c r="I106" s="15"/>
      <x:c r="J106" s="15"/>
      <x:c r="K106" s="15"/>
      <x:c r="L106" s="17" t="str">
        <x:f>IF(M106="","",'参数'!$B$3+IF(ROW()=3,0,SUM($S$3:INDEX($S:$S,ROW()-1))))</x:f>
      </x:c>
      <x:c r="M106" s="17"/>
      <x:c r="N106" s="18"/>
      <x:c r="O106" s="19" t="str">
        <x:f>IF(OR(M106="",L106=""),"",M106/L106)</x:f>
      </x:c>
      <x:c r="P106" s="17" t="str">
        <x:f>IF(OR(M106="",N106=""),"",M106*N106)</x:f>
      </x:c>
      <x:c r="Q106" s="17"/>
      <x:c r="R106" s="17" t="str">
        <x:f>IF(OR(M106="",Q106="",Q106="未结算"),"",SWITCH(Q106,"赢",M106*N106,"输",0,"走水",M106,"取消",M106,"半赢",M106*(1+(N106-1)/2),"半输",M106*0.5,""))</x:f>
      </x:c>
      <x:c r="S106" s="17" t="str">
        <x:f>IF(R106="","",R106-M106)</x:f>
      </x:c>
      <x:c r="T106" s="19" t="str">
        <x:f>IF(OR(M106="",S106=""),"",S106/M106)</x:f>
      </x:c>
      <x:c r="U106" s="17" t="str">
        <x:f>IF(S106="","",'参数'!$B$3+SUM($S$3:S106))</x:f>
      </x:c>
      <x:c r="V106" s="15"/>
      <x:c r="W106" s="15"/>
      <x:c r="X106" s="15"/>
    </x:row>
    <x:row r="107" ht="25.5" customHeight="1">
      <x:c r="A107" s="15" t="str">
        <x:f>IF(D107="","",ROW()-2)</x:f>
      </x:c>
      <x:c r="B107" s="16"/>
      <x:c r="C107" s="15"/>
      <x:c r="D107" s="15"/>
      <x:c r="E107" s="16"/>
      <x:c r="F107" s="15"/>
      <x:c r="G107" s="15"/>
      <x:c r="H107" s="15"/>
      <x:c r="I107" s="15"/>
      <x:c r="J107" s="15"/>
      <x:c r="K107" s="15"/>
      <x:c r="L107" s="17" t="str">
        <x:f>IF(M107="","",'参数'!$B$3+IF(ROW()=3,0,SUM($S$3:INDEX($S:$S,ROW()-1))))</x:f>
      </x:c>
      <x:c r="M107" s="17"/>
      <x:c r="N107" s="18"/>
      <x:c r="O107" s="19" t="str">
        <x:f>IF(OR(M107="",L107=""),"",M107/L107)</x:f>
      </x:c>
      <x:c r="P107" s="17" t="str">
        <x:f>IF(OR(M107="",N107=""),"",M107*N107)</x:f>
      </x:c>
      <x:c r="Q107" s="17"/>
      <x:c r="R107" s="17" t="str">
        <x:f>IF(OR(M107="",Q107="",Q107="未结算"),"",SWITCH(Q107,"赢",M107*N107,"输",0,"走水",M107,"取消",M107,"半赢",M107*(1+(N107-1)/2),"半输",M107*0.5,""))</x:f>
      </x:c>
      <x:c r="S107" s="17" t="str">
        <x:f>IF(R107="","",R107-M107)</x:f>
      </x:c>
      <x:c r="T107" s="19" t="str">
        <x:f>IF(OR(M107="",S107=""),"",S107/M107)</x:f>
      </x:c>
      <x:c r="U107" s="17" t="str">
        <x:f>IF(S107="","",'参数'!$B$3+SUM($S$3:S107))</x:f>
      </x:c>
      <x:c r="V107" s="15"/>
      <x:c r="W107" s="15"/>
      <x:c r="X107" s="15"/>
    </x:row>
    <x:row r="108" ht="25.5" customHeight="1">
      <x:c r="A108" s="15" t="str">
        <x:f>IF(D108="","",ROW()-2)</x:f>
      </x:c>
      <x:c r="B108" s="16"/>
      <x:c r="C108" s="15"/>
      <x:c r="D108" s="15"/>
      <x:c r="E108" s="16"/>
      <x:c r="F108" s="15"/>
      <x:c r="G108" s="15"/>
      <x:c r="H108" s="15"/>
      <x:c r="I108" s="15"/>
      <x:c r="J108" s="15"/>
      <x:c r="K108" s="15"/>
      <x:c r="L108" s="17" t="str">
        <x:f>IF(M108="","",'参数'!$B$3+IF(ROW()=3,0,SUM($S$3:INDEX($S:$S,ROW()-1))))</x:f>
      </x:c>
      <x:c r="M108" s="17"/>
      <x:c r="N108" s="18"/>
      <x:c r="O108" s="19" t="str">
        <x:f>IF(OR(M108="",L108=""),"",M108/L108)</x:f>
      </x:c>
      <x:c r="P108" s="17" t="str">
        <x:f>IF(OR(M108="",N108=""),"",M108*N108)</x:f>
      </x:c>
      <x:c r="Q108" s="17"/>
      <x:c r="R108" s="17" t="str">
        <x:f>IF(OR(M108="",Q108="",Q108="未结算"),"",SWITCH(Q108,"赢",M108*N108,"输",0,"走水",M108,"取消",M108,"半赢",M108*(1+(N108-1)/2),"半输",M108*0.5,""))</x:f>
      </x:c>
      <x:c r="S108" s="17" t="str">
        <x:f>IF(R108="","",R108-M108)</x:f>
      </x:c>
      <x:c r="T108" s="19" t="str">
        <x:f>IF(OR(M108="",S108=""),"",S108/M108)</x:f>
      </x:c>
      <x:c r="U108" s="17" t="str">
        <x:f>IF(S108="","",'参数'!$B$3+SUM($S$3:S108))</x:f>
      </x:c>
      <x:c r="V108" s="15"/>
      <x:c r="W108" s="15"/>
      <x:c r="X108" s="15"/>
    </x:row>
    <x:row r="109" ht="25.5" customHeight="1">
      <x:c r="A109" s="15" t="str">
        <x:f>IF(D109="","",ROW()-2)</x:f>
      </x:c>
      <x:c r="B109" s="16"/>
      <x:c r="C109" s="15"/>
      <x:c r="D109" s="15"/>
      <x:c r="E109" s="16"/>
      <x:c r="F109" s="15"/>
      <x:c r="G109" s="15"/>
      <x:c r="H109" s="15"/>
      <x:c r="I109" s="15"/>
      <x:c r="J109" s="15"/>
      <x:c r="K109" s="15"/>
      <x:c r="L109" s="17" t="str">
        <x:f>IF(M109="","",'参数'!$B$3+IF(ROW()=3,0,SUM($S$3:INDEX($S:$S,ROW()-1))))</x:f>
      </x:c>
      <x:c r="M109" s="17"/>
      <x:c r="N109" s="18"/>
      <x:c r="O109" s="19" t="str">
        <x:f>IF(OR(M109="",L109=""),"",M109/L109)</x:f>
      </x:c>
      <x:c r="P109" s="17" t="str">
        <x:f>IF(OR(M109="",N109=""),"",M109*N109)</x:f>
      </x:c>
      <x:c r="Q109" s="17"/>
      <x:c r="R109" s="17" t="str">
        <x:f>IF(OR(M109="",Q109="",Q109="未结算"),"",SWITCH(Q109,"赢",M109*N109,"输",0,"走水",M109,"取消",M109,"半赢",M109*(1+(N109-1)/2),"半输",M109*0.5,""))</x:f>
      </x:c>
      <x:c r="S109" s="17" t="str">
        <x:f>IF(R109="","",R109-M109)</x:f>
      </x:c>
      <x:c r="T109" s="19" t="str">
        <x:f>IF(OR(M109="",S109=""),"",S109/M109)</x:f>
      </x:c>
      <x:c r="U109" s="17" t="str">
        <x:f>IF(S109="","",'参数'!$B$3+SUM($S$3:S109))</x:f>
      </x:c>
      <x:c r="V109" s="15"/>
      <x:c r="W109" s="15"/>
      <x:c r="X109" s="15"/>
    </x:row>
    <x:row r="110" ht="25.5" customHeight="1">
      <x:c r="A110" s="15" t="str">
        <x:f>IF(D110="","",ROW()-2)</x:f>
      </x:c>
      <x:c r="B110" s="16"/>
      <x:c r="C110" s="15"/>
      <x:c r="D110" s="15"/>
      <x:c r="E110" s="16"/>
      <x:c r="F110" s="15"/>
      <x:c r="G110" s="15"/>
      <x:c r="H110" s="15"/>
      <x:c r="I110" s="15"/>
      <x:c r="J110" s="15"/>
      <x:c r="K110" s="15"/>
      <x:c r="L110" s="17" t="str">
        <x:f>IF(M110="","",'参数'!$B$3+IF(ROW()=3,0,SUM($S$3:INDEX($S:$S,ROW()-1))))</x:f>
      </x:c>
      <x:c r="M110" s="17"/>
      <x:c r="N110" s="18"/>
      <x:c r="O110" s="19" t="str">
        <x:f>IF(OR(M110="",L110=""),"",M110/L110)</x:f>
      </x:c>
      <x:c r="P110" s="17" t="str">
        <x:f>IF(OR(M110="",N110=""),"",M110*N110)</x:f>
      </x:c>
      <x:c r="Q110" s="17"/>
      <x:c r="R110" s="17" t="str">
        <x:f>IF(OR(M110="",Q110="",Q110="未结算"),"",SWITCH(Q110,"赢",M110*N110,"输",0,"走水",M110,"取消",M110,"半赢",M110*(1+(N110-1)/2),"半输",M110*0.5,""))</x:f>
      </x:c>
      <x:c r="S110" s="17" t="str">
        <x:f>IF(R110="","",R110-M110)</x:f>
      </x:c>
      <x:c r="T110" s="19" t="str">
        <x:f>IF(OR(M110="",S110=""),"",S110/M110)</x:f>
      </x:c>
      <x:c r="U110" s="17" t="str">
        <x:f>IF(S110="","",'参数'!$B$3+SUM($S$3:S110))</x:f>
      </x:c>
      <x:c r="V110" s="15"/>
      <x:c r="W110" s="15"/>
      <x:c r="X110" s="15"/>
    </x:row>
    <x:row r="111" ht="25.5" customHeight="1">
      <x:c r="A111" s="15" t="str">
        <x:f>IF(D111="","",ROW()-2)</x:f>
      </x:c>
      <x:c r="B111" s="16"/>
      <x:c r="C111" s="15"/>
      <x:c r="D111" s="15"/>
      <x:c r="E111" s="16"/>
      <x:c r="F111" s="15"/>
      <x:c r="G111" s="15"/>
      <x:c r="H111" s="15"/>
      <x:c r="I111" s="15"/>
      <x:c r="J111" s="15"/>
      <x:c r="K111" s="15"/>
      <x:c r="L111" s="17" t="str">
        <x:f>IF(M111="","",'参数'!$B$3+IF(ROW()=3,0,SUM($S$3:INDEX($S:$S,ROW()-1))))</x:f>
      </x:c>
      <x:c r="M111" s="17"/>
      <x:c r="N111" s="18"/>
      <x:c r="O111" s="19" t="str">
        <x:f>IF(OR(M111="",L111=""),"",M111/L111)</x:f>
      </x:c>
      <x:c r="P111" s="17" t="str">
        <x:f>IF(OR(M111="",N111=""),"",M111*N111)</x:f>
      </x:c>
      <x:c r="Q111" s="17"/>
      <x:c r="R111" s="17" t="str">
        <x:f>IF(OR(M111="",Q111="",Q111="未结算"),"",SWITCH(Q111,"赢",M111*N111,"输",0,"走水",M111,"取消",M111,"半赢",M111*(1+(N111-1)/2),"半输",M111*0.5,""))</x:f>
      </x:c>
      <x:c r="S111" s="17" t="str">
        <x:f>IF(R111="","",R111-M111)</x:f>
      </x:c>
      <x:c r="T111" s="19" t="str">
        <x:f>IF(OR(M111="",S111=""),"",S111/M111)</x:f>
      </x:c>
      <x:c r="U111" s="17" t="str">
        <x:f>IF(S111="","",'参数'!$B$3+SUM($S$3:S111))</x:f>
      </x:c>
      <x:c r="V111" s="15"/>
      <x:c r="W111" s="15"/>
      <x:c r="X111" s="15"/>
    </x:row>
    <x:row r="112" ht="25.5" customHeight="1">
      <x:c r="A112" s="15" t="str">
        <x:f>IF(D112="","",ROW()-2)</x:f>
      </x:c>
      <x:c r="B112" s="16"/>
      <x:c r="C112" s="15"/>
      <x:c r="D112" s="15"/>
      <x:c r="E112" s="16"/>
      <x:c r="F112" s="15"/>
      <x:c r="G112" s="15"/>
      <x:c r="H112" s="15"/>
      <x:c r="I112" s="15"/>
      <x:c r="J112" s="15"/>
      <x:c r="K112" s="15"/>
      <x:c r="L112" s="17" t="str">
        <x:f>IF(M112="","",'参数'!$B$3+IF(ROW()=3,0,SUM($S$3:INDEX($S:$S,ROW()-1))))</x:f>
      </x:c>
      <x:c r="M112" s="17"/>
      <x:c r="N112" s="18"/>
      <x:c r="O112" s="19" t="str">
        <x:f>IF(OR(M112="",L112=""),"",M112/L112)</x:f>
      </x:c>
      <x:c r="P112" s="17" t="str">
        <x:f>IF(OR(M112="",N112=""),"",M112*N112)</x:f>
      </x:c>
      <x:c r="Q112" s="17"/>
      <x:c r="R112" s="17" t="str">
        <x:f>IF(OR(M112="",Q112="",Q112="未结算"),"",SWITCH(Q112,"赢",M112*N112,"输",0,"走水",M112,"取消",M112,"半赢",M112*(1+(N112-1)/2),"半输",M112*0.5,""))</x:f>
      </x:c>
      <x:c r="S112" s="17" t="str">
        <x:f>IF(R112="","",R112-M112)</x:f>
      </x:c>
      <x:c r="T112" s="19" t="str">
        <x:f>IF(OR(M112="",S112=""),"",S112/M112)</x:f>
      </x:c>
      <x:c r="U112" s="17" t="str">
        <x:f>IF(S112="","",'参数'!$B$3+SUM($S$3:S112))</x:f>
      </x:c>
      <x:c r="V112" s="15"/>
      <x:c r="W112" s="15"/>
      <x:c r="X112" s="15"/>
    </x:row>
    <x:row r="113" ht="25.5" customHeight="1">
      <x:c r="A113" s="15" t="str">
        <x:f>IF(D113="","",ROW()-2)</x:f>
      </x:c>
      <x:c r="B113" s="16"/>
      <x:c r="C113" s="15"/>
      <x:c r="D113" s="15"/>
      <x:c r="E113" s="16"/>
      <x:c r="F113" s="15"/>
      <x:c r="G113" s="15"/>
      <x:c r="H113" s="15"/>
      <x:c r="I113" s="15"/>
      <x:c r="J113" s="15"/>
      <x:c r="K113" s="15"/>
      <x:c r="L113" s="17" t="str">
        <x:f>IF(M113="","",'参数'!$B$3+IF(ROW()=3,0,SUM($S$3:INDEX($S:$S,ROW()-1))))</x:f>
      </x:c>
      <x:c r="M113" s="17"/>
      <x:c r="N113" s="18"/>
      <x:c r="O113" s="19" t="str">
        <x:f>IF(OR(M113="",L113=""),"",M113/L113)</x:f>
      </x:c>
      <x:c r="P113" s="17" t="str">
        <x:f>IF(OR(M113="",N113=""),"",M113*N113)</x:f>
      </x:c>
      <x:c r="Q113" s="17"/>
      <x:c r="R113" s="17" t="str">
        <x:f>IF(OR(M113="",Q113="",Q113="未结算"),"",SWITCH(Q113,"赢",M113*N113,"输",0,"走水",M113,"取消",M113,"半赢",M113*(1+(N113-1)/2),"半输",M113*0.5,""))</x:f>
      </x:c>
      <x:c r="S113" s="17" t="str">
        <x:f>IF(R113="","",R113-M113)</x:f>
      </x:c>
      <x:c r="T113" s="19" t="str">
        <x:f>IF(OR(M113="",S113=""),"",S113/M113)</x:f>
      </x:c>
      <x:c r="U113" s="17" t="str">
        <x:f>IF(S113="","",'参数'!$B$3+SUM($S$3:S113))</x:f>
      </x:c>
      <x:c r="V113" s="15"/>
      <x:c r="W113" s="15"/>
      <x:c r="X113" s="15"/>
    </x:row>
    <x:row r="114" ht="25.5" customHeight="1">
      <x:c r="A114" s="15" t="str">
        <x:f>IF(D114="","",ROW()-2)</x:f>
      </x:c>
      <x:c r="B114" s="16"/>
      <x:c r="C114" s="15"/>
      <x:c r="D114" s="15"/>
      <x:c r="E114" s="16"/>
      <x:c r="F114" s="15"/>
      <x:c r="G114" s="15"/>
      <x:c r="H114" s="15"/>
      <x:c r="I114" s="15"/>
      <x:c r="J114" s="15"/>
      <x:c r="K114" s="15"/>
      <x:c r="L114" s="17" t="str">
        <x:f>IF(M114="","",'参数'!$B$3+IF(ROW()=3,0,SUM($S$3:INDEX($S:$S,ROW()-1))))</x:f>
      </x:c>
      <x:c r="M114" s="17"/>
      <x:c r="N114" s="18"/>
      <x:c r="O114" s="19" t="str">
        <x:f>IF(OR(M114="",L114=""),"",M114/L114)</x:f>
      </x:c>
      <x:c r="P114" s="17" t="str">
        <x:f>IF(OR(M114="",N114=""),"",M114*N114)</x:f>
      </x:c>
      <x:c r="Q114" s="17"/>
      <x:c r="R114" s="17" t="str">
        <x:f>IF(OR(M114="",Q114="",Q114="未结算"),"",SWITCH(Q114,"赢",M114*N114,"输",0,"走水",M114,"取消",M114,"半赢",M114*(1+(N114-1)/2),"半输",M114*0.5,""))</x:f>
      </x:c>
      <x:c r="S114" s="17" t="str">
        <x:f>IF(R114="","",R114-M114)</x:f>
      </x:c>
      <x:c r="T114" s="19" t="str">
        <x:f>IF(OR(M114="",S114=""),"",S114/M114)</x:f>
      </x:c>
      <x:c r="U114" s="17" t="str">
        <x:f>IF(S114="","",'参数'!$B$3+SUM($S$3:S114))</x:f>
      </x:c>
      <x:c r="V114" s="15"/>
      <x:c r="W114" s="15"/>
      <x:c r="X114" s="15"/>
    </x:row>
    <x:row r="115" ht="25.5" customHeight="1">
      <x:c r="A115" s="15" t="str">
        <x:f>IF(D115="","",ROW()-2)</x:f>
      </x:c>
      <x:c r="B115" s="16"/>
      <x:c r="C115" s="15"/>
      <x:c r="D115" s="15"/>
      <x:c r="E115" s="16"/>
      <x:c r="F115" s="15"/>
      <x:c r="G115" s="15"/>
      <x:c r="H115" s="15"/>
      <x:c r="I115" s="15"/>
      <x:c r="J115" s="15"/>
      <x:c r="K115" s="15"/>
      <x:c r="L115" s="17" t="str">
        <x:f>IF(M115="","",'参数'!$B$3+IF(ROW()=3,0,SUM($S$3:INDEX($S:$S,ROW()-1))))</x:f>
      </x:c>
      <x:c r="M115" s="17"/>
      <x:c r="N115" s="18"/>
      <x:c r="O115" s="19" t="str">
        <x:f>IF(OR(M115="",L115=""),"",M115/L115)</x:f>
      </x:c>
      <x:c r="P115" s="17" t="str">
        <x:f>IF(OR(M115="",N115=""),"",M115*N115)</x:f>
      </x:c>
      <x:c r="Q115" s="17"/>
      <x:c r="R115" s="17" t="str">
        <x:f>IF(OR(M115="",Q115="",Q115="未结算"),"",SWITCH(Q115,"赢",M115*N115,"输",0,"走水",M115,"取消",M115,"半赢",M115*(1+(N115-1)/2),"半输",M115*0.5,""))</x:f>
      </x:c>
      <x:c r="S115" s="17" t="str">
        <x:f>IF(R115="","",R115-M115)</x:f>
      </x:c>
      <x:c r="T115" s="19" t="str">
        <x:f>IF(OR(M115="",S115=""),"",S115/M115)</x:f>
      </x:c>
      <x:c r="U115" s="17" t="str">
        <x:f>IF(S115="","",'参数'!$B$3+SUM($S$3:S115))</x:f>
      </x:c>
      <x:c r="V115" s="15"/>
      <x:c r="W115" s="15"/>
      <x:c r="X115" s="15"/>
    </x:row>
    <x:row r="116" ht="25.5" customHeight="1">
      <x:c r="A116" s="15" t="str">
        <x:f>IF(D116="","",ROW()-2)</x:f>
      </x:c>
      <x:c r="B116" s="16"/>
      <x:c r="C116" s="15"/>
      <x:c r="D116" s="15"/>
      <x:c r="E116" s="16"/>
      <x:c r="F116" s="15"/>
      <x:c r="G116" s="15"/>
      <x:c r="H116" s="15"/>
      <x:c r="I116" s="15"/>
      <x:c r="J116" s="15"/>
      <x:c r="K116" s="15"/>
      <x:c r="L116" s="17" t="str">
        <x:f>IF(M116="","",'参数'!$B$3+IF(ROW()=3,0,SUM($S$3:INDEX($S:$S,ROW()-1))))</x:f>
      </x:c>
      <x:c r="M116" s="17"/>
      <x:c r="N116" s="18"/>
      <x:c r="O116" s="19" t="str">
        <x:f>IF(OR(M116="",L116=""),"",M116/L116)</x:f>
      </x:c>
      <x:c r="P116" s="17" t="str">
        <x:f>IF(OR(M116="",N116=""),"",M116*N116)</x:f>
      </x:c>
      <x:c r="Q116" s="17"/>
      <x:c r="R116" s="17" t="str">
        <x:f>IF(OR(M116="",Q116="",Q116="未结算"),"",SWITCH(Q116,"赢",M116*N116,"输",0,"走水",M116,"取消",M116,"半赢",M116*(1+(N116-1)/2),"半输",M116*0.5,""))</x:f>
      </x:c>
      <x:c r="S116" s="17" t="str">
        <x:f>IF(R116="","",R116-M116)</x:f>
      </x:c>
      <x:c r="T116" s="19" t="str">
        <x:f>IF(OR(M116="",S116=""),"",S116/M116)</x:f>
      </x:c>
      <x:c r="U116" s="17" t="str">
        <x:f>IF(S116="","",'参数'!$B$3+SUM($S$3:S116))</x:f>
      </x:c>
      <x:c r="V116" s="15"/>
      <x:c r="W116" s="15"/>
      <x:c r="X116" s="15"/>
    </x:row>
    <x:row r="117" ht="25.5" customHeight="1">
      <x:c r="A117" s="15" t="str">
        <x:f>IF(D117="","",ROW()-2)</x:f>
      </x:c>
      <x:c r="B117" s="16"/>
      <x:c r="C117" s="15"/>
      <x:c r="D117" s="15"/>
      <x:c r="E117" s="16"/>
      <x:c r="F117" s="15"/>
      <x:c r="G117" s="15"/>
      <x:c r="H117" s="15"/>
      <x:c r="I117" s="15"/>
      <x:c r="J117" s="15"/>
      <x:c r="K117" s="15"/>
      <x:c r="L117" s="17" t="str">
        <x:f>IF(M117="","",'参数'!$B$3+IF(ROW()=3,0,SUM($S$3:INDEX($S:$S,ROW()-1))))</x:f>
      </x:c>
      <x:c r="M117" s="17"/>
      <x:c r="N117" s="18"/>
      <x:c r="O117" s="19" t="str">
        <x:f>IF(OR(M117="",L117=""),"",M117/L117)</x:f>
      </x:c>
      <x:c r="P117" s="17" t="str">
        <x:f>IF(OR(M117="",N117=""),"",M117*N117)</x:f>
      </x:c>
      <x:c r="Q117" s="17"/>
      <x:c r="R117" s="17" t="str">
        <x:f>IF(OR(M117="",Q117="",Q117="未结算"),"",SWITCH(Q117,"赢",M117*N117,"输",0,"走水",M117,"取消",M117,"半赢",M117*(1+(N117-1)/2),"半输",M117*0.5,""))</x:f>
      </x:c>
      <x:c r="S117" s="17" t="str">
        <x:f>IF(R117="","",R117-M117)</x:f>
      </x:c>
      <x:c r="T117" s="19" t="str">
        <x:f>IF(OR(M117="",S117=""),"",S117/M117)</x:f>
      </x:c>
      <x:c r="U117" s="17" t="str">
        <x:f>IF(S117="","",'参数'!$B$3+SUM($S$3:S117))</x:f>
      </x:c>
      <x:c r="V117" s="15"/>
      <x:c r="W117" s="15"/>
      <x:c r="X117" s="15"/>
    </x:row>
    <x:row r="118" ht="25.5" customHeight="1">
      <x:c r="A118" s="15" t="str">
        <x:f>IF(D118="","",ROW()-2)</x:f>
      </x:c>
      <x:c r="B118" s="16"/>
      <x:c r="C118" s="15"/>
      <x:c r="D118" s="15"/>
      <x:c r="E118" s="16"/>
      <x:c r="F118" s="15"/>
      <x:c r="G118" s="15"/>
      <x:c r="H118" s="15"/>
      <x:c r="I118" s="15"/>
      <x:c r="J118" s="15"/>
      <x:c r="K118" s="15"/>
      <x:c r="L118" s="17" t="str">
        <x:f>IF(M118="","",'参数'!$B$3+IF(ROW()=3,0,SUM($S$3:INDEX($S:$S,ROW()-1))))</x:f>
      </x:c>
      <x:c r="M118" s="17"/>
      <x:c r="N118" s="18"/>
      <x:c r="O118" s="19" t="str">
        <x:f>IF(OR(M118="",L118=""),"",M118/L118)</x:f>
      </x:c>
      <x:c r="P118" s="17" t="str">
        <x:f>IF(OR(M118="",N118=""),"",M118*N118)</x:f>
      </x:c>
      <x:c r="Q118" s="17"/>
      <x:c r="R118" s="17" t="str">
        <x:f>IF(OR(M118="",Q118="",Q118="未结算"),"",SWITCH(Q118,"赢",M118*N118,"输",0,"走水",M118,"取消",M118,"半赢",M118*(1+(N118-1)/2),"半输",M118*0.5,""))</x:f>
      </x:c>
      <x:c r="S118" s="17" t="str">
        <x:f>IF(R118="","",R118-M118)</x:f>
      </x:c>
      <x:c r="T118" s="19" t="str">
        <x:f>IF(OR(M118="",S118=""),"",S118/M118)</x:f>
      </x:c>
      <x:c r="U118" s="17" t="str">
        <x:f>IF(S118="","",'参数'!$B$3+SUM($S$3:S118))</x:f>
      </x:c>
      <x:c r="V118" s="15"/>
      <x:c r="W118" s="15"/>
      <x:c r="X118" s="15"/>
    </x:row>
    <x:row r="119" ht="25.5" customHeight="1">
      <x:c r="A119" s="15" t="str">
        <x:f>IF(D119="","",ROW()-2)</x:f>
      </x:c>
      <x:c r="B119" s="16"/>
      <x:c r="C119" s="15"/>
      <x:c r="D119" s="15"/>
      <x:c r="E119" s="16"/>
      <x:c r="F119" s="15"/>
      <x:c r="G119" s="15"/>
      <x:c r="H119" s="15"/>
      <x:c r="I119" s="15"/>
      <x:c r="J119" s="15"/>
      <x:c r="K119" s="15"/>
      <x:c r="L119" s="17" t="str">
        <x:f>IF(M119="","",'参数'!$B$3+IF(ROW()=3,0,SUM($S$3:INDEX($S:$S,ROW()-1))))</x:f>
      </x:c>
      <x:c r="M119" s="17"/>
      <x:c r="N119" s="18"/>
      <x:c r="O119" s="19" t="str">
        <x:f>IF(OR(M119="",L119=""),"",M119/L119)</x:f>
      </x:c>
      <x:c r="P119" s="17" t="str">
        <x:f>IF(OR(M119="",N119=""),"",M119*N119)</x:f>
      </x:c>
      <x:c r="Q119" s="17"/>
      <x:c r="R119" s="17" t="str">
        <x:f>IF(OR(M119="",Q119="",Q119="未结算"),"",SWITCH(Q119,"赢",M119*N119,"输",0,"走水",M119,"取消",M119,"半赢",M119*(1+(N119-1)/2),"半输",M119*0.5,""))</x:f>
      </x:c>
      <x:c r="S119" s="17" t="str">
        <x:f>IF(R119="","",R119-M119)</x:f>
      </x:c>
      <x:c r="T119" s="19" t="str">
        <x:f>IF(OR(M119="",S119=""),"",S119/M119)</x:f>
      </x:c>
      <x:c r="U119" s="17" t="str">
        <x:f>IF(S119="","",'参数'!$B$3+SUM($S$3:S119))</x:f>
      </x:c>
      <x:c r="V119" s="15"/>
      <x:c r="W119" s="15"/>
      <x:c r="X119" s="15"/>
    </x:row>
    <x:row r="120" ht="25.5" customHeight="1">
      <x:c r="A120" s="15" t="str">
        <x:f>IF(D120="","",ROW()-2)</x:f>
      </x:c>
      <x:c r="B120" s="16"/>
      <x:c r="C120" s="15"/>
      <x:c r="D120" s="15"/>
      <x:c r="E120" s="16"/>
      <x:c r="F120" s="15"/>
      <x:c r="G120" s="15"/>
      <x:c r="H120" s="15"/>
      <x:c r="I120" s="15"/>
      <x:c r="J120" s="15"/>
      <x:c r="K120" s="15"/>
      <x:c r="L120" s="17" t="str">
        <x:f>IF(M120="","",'参数'!$B$3+IF(ROW()=3,0,SUM($S$3:INDEX($S:$S,ROW()-1))))</x:f>
      </x:c>
      <x:c r="M120" s="17"/>
      <x:c r="N120" s="18"/>
      <x:c r="O120" s="19" t="str">
        <x:f>IF(OR(M120="",L120=""),"",M120/L120)</x:f>
      </x:c>
      <x:c r="P120" s="17" t="str">
        <x:f>IF(OR(M120="",N120=""),"",M120*N120)</x:f>
      </x:c>
      <x:c r="Q120" s="17"/>
      <x:c r="R120" s="17" t="str">
        <x:f>IF(OR(M120="",Q120="",Q120="未结算"),"",SWITCH(Q120,"赢",M120*N120,"输",0,"走水",M120,"取消",M120,"半赢",M120*(1+(N120-1)/2),"半输",M120*0.5,""))</x:f>
      </x:c>
      <x:c r="S120" s="17" t="str">
        <x:f>IF(R120="","",R120-M120)</x:f>
      </x:c>
      <x:c r="T120" s="19" t="str">
        <x:f>IF(OR(M120="",S120=""),"",S120/M120)</x:f>
      </x:c>
      <x:c r="U120" s="17" t="str">
        <x:f>IF(S120="","",'参数'!$B$3+SUM($S$3:S120))</x:f>
      </x:c>
      <x:c r="V120" s="15"/>
      <x:c r="W120" s="15"/>
      <x:c r="X120" s="15"/>
    </x:row>
    <x:row r="121" ht="25.5" customHeight="1">
      <x:c r="A121" s="15" t="str">
        <x:f>IF(D121="","",ROW()-2)</x:f>
      </x:c>
      <x:c r="B121" s="16"/>
      <x:c r="C121" s="15"/>
      <x:c r="D121" s="15"/>
      <x:c r="E121" s="16"/>
      <x:c r="F121" s="15"/>
      <x:c r="G121" s="15"/>
      <x:c r="H121" s="15"/>
      <x:c r="I121" s="15"/>
      <x:c r="J121" s="15"/>
      <x:c r="K121" s="15"/>
      <x:c r="L121" s="17" t="str">
        <x:f>IF(M121="","",'参数'!$B$3+IF(ROW()=3,0,SUM($S$3:INDEX($S:$S,ROW()-1))))</x:f>
      </x:c>
      <x:c r="M121" s="17"/>
      <x:c r="N121" s="18"/>
      <x:c r="O121" s="19" t="str">
        <x:f>IF(OR(M121="",L121=""),"",M121/L121)</x:f>
      </x:c>
      <x:c r="P121" s="17" t="str">
        <x:f>IF(OR(M121="",N121=""),"",M121*N121)</x:f>
      </x:c>
      <x:c r="Q121" s="17"/>
      <x:c r="R121" s="17" t="str">
        <x:f>IF(OR(M121="",Q121="",Q121="未结算"),"",SWITCH(Q121,"赢",M121*N121,"输",0,"走水",M121,"取消",M121,"半赢",M121*(1+(N121-1)/2),"半输",M121*0.5,""))</x:f>
      </x:c>
      <x:c r="S121" s="17" t="str">
        <x:f>IF(R121="","",R121-M121)</x:f>
      </x:c>
      <x:c r="T121" s="19" t="str">
        <x:f>IF(OR(M121="",S121=""),"",S121/M121)</x:f>
      </x:c>
      <x:c r="U121" s="17" t="str">
        <x:f>IF(S121="","",'参数'!$B$3+SUM($S$3:S121))</x:f>
      </x:c>
      <x:c r="V121" s="15"/>
      <x:c r="W121" s="15"/>
      <x:c r="X121" s="15"/>
    </x:row>
    <x:row r="122" ht="25.5" customHeight="1">
      <x:c r="A122" s="15" t="str">
        <x:f>IF(D122="","",ROW()-2)</x:f>
      </x:c>
      <x:c r="B122" s="16"/>
      <x:c r="C122" s="15"/>
      <x:c r="D122" s="15"/>
      <x:c r="E122" s="16"/>
      <x:c r="F122" s="15"/>
      <x:c r="G122" s="15"/>
      <x:c r="H122" s="15"/>
      <x:c r="I122" s="15"/>
      <x:c r="J122" s="15"/>
      <x:c r="K122" s="15"/>
      <x:c r="L122" s="17" t="str">
        <x:f>IF(M122="","",'参数'!$B$3+IF(ROW()=3,0,SUM($S$3:INDEX($S:$S,ROW()-1))))</x:f>
      </x:c>
      <x:c r="M122" s="17"/>
      <x:c r="N122" s="18"/>
      <x:c r="O122" s="19" t="str">
        <x:f>IF(OR(M122="",L122=""),"",M122/L122)</x:f>
      </x:c>
      <x:c r="P122" s="17" t="str">
        <x:f>IF(OR(M122="",N122=""),"",M122*N122)</x:f>
      </x:c>
      <x:c r="Q122" s="17"/>
      <x:c r="R122" s="17" t="str">
        <x:f>IF(OR(M122="",Q122="",Q122="未结算"),"",SWITCH(Q122,"赢",M122*N122,"输",0,"走水",M122,"取消",M122,"半赢",M122*(1+(N122-1)/2),"半输",M122*0.5,""))</x:f>
      </x:c>
      <x:c r="S122" s="17" t="str">
        <x:f>IF(R122="","",R122-M122)</x:f>
      </x:c>
      <x:c r="T122" s="19" t="str">
        <x:f>IF(OR(M122="",S122=""),"",S122/M122)</x:f>
      </x:c>
      <x:c r="U122" s="17" t="str">
        <x:f>IF(S122="","",'参数'!$B$3+SUM($S$3:S122))</x:f>
      </x:c>
      <x:c r="V122" s="15"/>
      <x:c r="W122" s="15"/>
      <x:c r="X122" s="15"/>
    </x:row>
    <x:row r="123" ht="25.5" customHeight="1">
      <x:c r="A123" s="15" t="str">
        <x:f>IF(D123="","",ROW()-2)</x:f>
      </x:c>
      <x:c r="B123" s="16"/>
      <x:c r="C123" s="15"/>
      <x:c r="D123" s="15"/>
      <x:c r="E123" s="16"/>
      <x:c r="F123" s="15"/>
      <x:c r="G123" s="15"/>
      <x:c r="H123" s="15"/>
      <x:c r="I123" s="15"/>
      <x:c r="J123" s="15"/>
      <x:c r="K123" s="15"/>
      <x:c r="L123" s="17" t="str">
        <x:f>IF(M123="","",'参数'!$B$3+IF(ROW()=3,0,SUM($S$3:INDEX($S:$S,ROW()-1))))</x:f>
      </x:c>
      <x:c r="M123" s="17"/>
      <x:c r="N123" s="18"/>
      <x:c r="O123" s="19" t="str">
        <x:f>IF(OR(M123="",L123=""),"",M123/L123)</x:f>
      </x:c>
      <x:c r="P123" s="17" t="str">
        <x:f>IF(OR(M123="",N123=""),"",M123*N123)</x:f>
      </x:c>
      <x:c r="Q123" s="17"/>
      <x:c r="R123" s="17" t="str">
        <x:f>IF(OR(M123="",Q123="",Q123="未结算"),"",SWITCH(Q123,"赢",M123*N123,"输",0,"走水",M123,"取消",M123,"半赢",M123*(1+(N123-1)/2),"半输",M123*0.5,""))</x:f>
      </x:c>
      <x:c r="S123" s="17" t="str">
        <x:f>IF(R123="","",R123-M123)</x:f>
      </x:c>
      <x:c r="T123" s="19" t="str">
        <x:f>IF(OR(M123="",S123=""),"",S123/M123)</x:f>
      </x:c>
      <x:c r="U123" s="17" t="str">
        <x:f>IF(S123="","",'参数'!$B$3+SUM($S$3:S123))</x:f>
      </x:c>
      <x:c r="V123" s="15"/>
      <x:c r="W123" s="15"/>
      <x:c r="X123" s="15"/>
    </x:row>
    <x:row r="124" ht="25.5" customHeight="1">
      <x:c r="A124" s="15" t="str">
        <x:f>IF(D124="","",ROW()-2)</x:f>
      </x:c>
      <x:c r="B124" s="16"/>
      <x:c r="C124" s="15"/>
      <x:c r="D124" s="15"/>
      <x:c r="E124" s="16"/>
      <x:c r="F124" s="15"/>
      <x:c r="G124" s="15"/>
      <x:c r="H124" s="15"/>
      <x:c r="I124" s="15"/>
      <x:c r="J124" s="15"/>
      <x:c r="K124" s="15"/>
      <x:c r="L124" s="17" t="str">
        <x:f>IF(M124="","",'参数'!$B$3+IF(ROW()=3,0,SUM($S$3:INDEX($S:$S,ROW()-1))))</x:f>
      </x:c>
      <x:c r="M124" s="17"/>
      <x:c r="N124" s="18"/>
      <x:c r="O124" s="19" t="str">
        <x:f>IF(OR(M124="",L124=""),"",M124/L124)</x:f>
      </x:c>
      <x:c r="P124" s="17" t="str">
        <x:f>IF(OR(M124="",N124=""),"",M124*N124)</x:f>
      </x:c>
      <x:c r="Q124" s="17"/>
      <x:c r="R124" s="17" t="str">
        <x:f>IF(OR(M124="",Q124="",Q124="未结算"),"",SWITCH(Q124,"赢",M124*N124,"输",0,"走水",M124,"取消",M124,"半赢",M124*(1+(N124-1)/2),"半输",M124*0.5,""))</x:f>
      </x:c>
      <x:c r="S124" s="17" t="str">
        <x:f>IF(R124="","",R124-M124)</x:f>
      </x:c>
      <x:c r="T124" s="19" t="str">
        <x:f>IF(OR(M124="",S124=""),"",S124/M124)</x:f>
      </x:c>
      <x:c r="U124" s="17" t="str">
        <x:f>IF(S124="","",'参数'!$B$3+SUM($S$3:S124))</x:f>
      </x:c>
      <x:c r="V124" s="15"/>
      <x:c r="W124" s="15"/>
      <x:c r="X124" s="15"/>
    </x:row>
    <x:row r="125" ht="25.5" customHeight="1">
      <x:c r="A125" s="15" t="str">
        <x:f>IF(D125="","",ROW()-2)</x:f>
      </x:c>
      <x:c r="B125" s="16"/>
      <x:c r="C125" s="15"/>
      <x:c r="D125" s="15"/>
      <x:c r="E125" s="16"/>
      <x:c r="F125" s="15"/>
      <x:c r="G125" s="15"/>
      <x:c r="H125" s="15"/>
      <x:c r="I125" s="15"/>
      <x:c r="J125" s="15"/>
      <x:c r="K125" s="15"/>
      <x:c r="L125" s="17" t="str">
        <x:f>IF(M125="","",'参数'!$B$3+IF(ROW()=3,0,SUM($S$3:INDEX($S:$S,ROW()-1))))</x:f>
      </x:c>
      <x:c r="M125" s="17"/>
      <x:c r="N125" s="18"/>
      <x:c r="O125" s="19" t="str">
        <x:f>IF(OR(M125="",L125=""),"",M125/L125)</x:f>
      </x:c>
      <x:c r="P125" s="17" t="str">
        <x:f>IF(OR(M125="",N125=""),"",M125*N125)</x:f>
      </x:c>
      <x:c r="Q125" s="17"/>
      <x:c r="R125" s="17" t="str">
        <x:f>IF(OR(M125="",Q125="",Q125="未结算"),"",SWITCH(Q125,"赢",M125*N125,"输",0,"走水",M125,"取消",M125,"半赢",M125*(1+(N125-1)/2),"半输",M125*0.5,""))</x:f>
      </x:c>
      <x:c r="S125" s="17" t="str">
        <x:f>IF(R125="","",R125-M125)</x:f>
      </x:c>
      <x:c r="T125" s="19" t="str">
        <x:f>IF(OR(M125="",S125=""),"",S125/M125)</x:f>
      </x:c>
      <x:c r="U125" s="17" t="str">
        <x:f>IF(S125="","",'参数'!$B$3+SUM($S$3:S125))</x:f>
      </x:c>
      <x:c r="V125" s="15"/>
      <x:c r="W125" s="15"/>
      <x:c r="X125" s="15"/>
    </x:row>
    <x:row r="126" ht="25.5" customHeight="1">
      <x:c r="A126" s="15" t="str">
        <x:f>IF(D126="","",ROW()-2)</x:f>
      </x:c>
      <x:c r="B126" s="16"/>
      <x:c r="C126" s="15"/>
      <x:c r="D126" s="15"/>
      <x:c r="E126" s="16"/>
      <x:c r="F126" s="15"/>
      <x:c r="G126" s="15"/>
      <x:c r="H126" s="15"/>
      <x:c r="I126" s="15"/>
      <x:c r="J126" s="15"/>
      <x:c r="K126" s="15"/>
      <x:c r="L126" s="17" t="str">
        <x:f>IF(M126="","",'参数'!$B$3+IF(ROW()=3,0,SUM($S$3:INDEX($S:$S,ROW()-1))))</x:f>
      </x:c>
      <x:c r="M126" s="17"/>
      <x:c r="N126" s="18"/>
      <x:c r="O126" s="19" t="str">
        <x:f>IF(OR(M126="",L126=""),"",M126/L126)</x:f>
      </x:c>
      <x:c r="P126" s="17" t="str">
        <x:f>IF(OR(M126="",N126=""),"",M126*N126)</x:f>
      </x:c>
      <x:c r="Q126" s="17"/>
      <x:c r="R126" s="17" t="str">
        <x:f>IF(OR(M126="",Q126="",Q126="未结算"),"",SWITCH(Q126,"赢",M126*N126,"输",0,"走水",M126,"取消",M126,"半赢",M126*(1+(N126-1)/2),"半输",M126*0.5,""))</x:f>
      </x:c>
      <x:c r="S126" s="17" t="str">
        <x:f>IF(R126="","",R126-M126)</x:f>
      </x:c>
      <x:c r="T126" s="19" t="str">
        <x:f>IF(OR(M126="",S126=""),"",S126/M126)</x:f>
      </x:c>
      <x:c r="U126" s="17" t="str">
        <x:f>IF(S126="","",'参数'!$B$3+SUM($S$3:S126))</x:f>
      </x:c>
      <x:c r="V126" s="15"/>
      <x:c r="W126" s="15"/>
      <x:c r="X126" s="15"/>
    </x:row>
    <x:row r="127" ht="25.5" customHeight="1">
      <x:c r="A127" s="15" t="str">
        <x:f>IF(D127="","",ROW()-2)</x:f>
      </x:c>
      <x:c r="B127" s="16"/>
      <x:c r="C127" s="15"/>
      <x:c r="D127" s="15"/>
      <x:c r="E127" s="16"/>
      <x:c r="F127" s="15"/>
      <x:c r="G127" s="15"/>
      <x:c r="H127" s="15"/>
      <x:c r="I127" s="15"/>
      <x:c r="J127" s="15"/>
      <x:c r="K127" s="15"/>
      <x:c r="L127" s="17" t="str">
        <x:f>IF(M127="","",'参数'!$B$3+IF(ROW()=3,0,SUM($S$3:INDEX($S:$S,ROW()-1))))</x:f>
      </x:c>
      <x:c r="M127" s="17"/>
      <x:c r="N127" s="18"/>
      <x:c r="O127" s="19" t="str">
        <x:f>IF(OR(M127="",L127=""),"",M127/L127)</x:f>
      </x:c>
      <x:c r="P127" s="17" t="str">
        <x:f>IF(OR(M127="",N127=""),"",M127*N127)</x:f>
      </x:c>
      <x:c r="Q127" s="17"/>
      <x:c r="R127" s="17" t="str">
        <x:f>IF(OR(M127="",Q127="",Q127="未结算"),"",SWITCH(Q127,"赢",M127*N127,"输",0,"走水",M127,"取消",M127,"半赢",M127*(1+(N127-1)/2),"半输",M127*0.5,""))</x:f>
      </x:c>
      <x:c r="S127" s="17" t="str">
        <x:f>IF(R127="","",R127-M127)</x:f>
      </x:c>
      <x:c r="T127" s="19" t="str">
        <x:f>IF(OR(M127="",S127=""),"",S127/M127)</x:f>
      </x:c>
      <x:c r="U127" s="17" t="str">
        <x:f>IF(S127="","",'参数'!$B$3+SUM($S$3:S127))</x:f>
      </x:c>
      <x:c r="V127" s="15"/>
      <x:c r="W127" s="15"/>
      <x:c r="X127" s="15"/>
    </x:row>
    <x:row r="128" ht="25.5" customHeight="1">
      <x:c r="A128" s="15" t="str">
        <x:f>IF(D128="","",ROW()-2)</x:f>
      </x:c>
      <x:c r="B128" s="16"/>
      <x:c r="C128" s="15"/>
      <x:c r="D128" s="15"/>
      <x:c r="E128" s="16"/>
      <x:c r="F128" s="15"/>
      <x:c r="G128" s="15"/>
      <x:c r="H128" s="15"/>
      <x:c r="I128" s="15"/>
      <x:c r="J128" s="15"/>
      <x:c r="K128" s="15"/>
      <x:c r="L128" s="17" t="str">
        <x:f>IF(M128="","",'参数'!$B$3+IF(ROW()=3,0,SUM($S$3:INDEX($S:$S,ROW()-1))))</x:f>
      </x:c>
      <x:c r="M128" s="17"/>
      <x:c r="N128" s="18"/>
      <x:c r="O128" s="19" t="str">
        <x:f>IF(OR(M128="",L128=""),"",M128/L128)</x:f>
      </x:c>
      <x:c r="P128" s="17" t="str">
        <x:f>IF(OR(M128="",N128=""),"",M128*N128)</x:f>
      </x:c>
      <x:c r="Q128" s="17"/>
      <x:c r="R128" s="17" t="str">
        <x:f>IF(OR(M128="",Q128="",Q128="未结算"),"",SWITCH(Q128,"赢",M128*N128,"输",0,"走水",M128,"取消",M128,"半赢",M128*(1+(N128-1)/2),"半输",M128*0.5,""))</x:f>
      </x:c>
      <x:c r="S128" s="17" t="str">
        <x:f>IF(R128="","",R128-M128)</x:f>
      </x:c>
      <x:c r="T128" s="19" t="str">
        <x:f>IF(OR(M128="",S128=""),"",S128/M128)</x:f>
      </x:c>
      <x:c r="U128" s="17" t="str">
        <x:f>IF(S128="","",'参数'!$B$3+SUM($S$3:S128))</x:f>
      </x:c>
      <x:c r="V128" s="15"/>
      <x:c r="W128" s="15"/>
      <x:c r="X128" s="15"/>
    </x:row>
    <x:row r="129" ht="25.5" customHeight="1">
      <x:c r="A129" s="15" t="str">
        <x:f>IF(D129="","",ROW()-2)</x:f>
      </x:c>
      <x:c r="B129" s="16"/>
      <x:c r="C129" s="15"/>
      <x:c r="D129" s="15"/>
      <x:c r="E129" s="16"/>
      <x:c r="F129" s="15"/>
      <x:c r="G129" s="15"/>
      <x:c r="H129" s="15"/>
      <x:c r="I129" s="15"/>
      <x:c r="J129" s="15"/>
      <x:c r="K129" s="15"/>
      <x:c r="L129" s="17" t="str">
        <x:f>IF(M129="","",'参数'!$B$3+IF(ROW()=3,0,SUM($S$3:INDEX($S:$S,ROW()-1))))</x:f>
      </x:c>
      <x:c r="M129" s="17"/>
      <x:c r="N129" s="18"/>
      <x:c r="O129" s="19" t="str">
        <x:f>IF(OR(M129="",L129=""),"",M129/L129)</x:f>
      </x:c>
      <x:c r="P129" s="17" t="str">
        <x:f>IF(OR(M129="",N129=""),"",M129*N129)</x:f>
      </x:c>
      <x:c r="Q129" s="17"/>
      <x:c r="R129" s="17" t="str">
        <x:f>IF(OR(M129="",Q129="",Q129="未结算"),"",SWITCH(Q129,"赢",M129*N129,"输",0,"走水",M129,"取消",M129,"半赢",M129*(1+(N129-1)/2),"半输",M129*0.5,""))</x:f>
      </x:c>
      <x:c r="S129" s="17" t="str">
        <x:f>IF(R129="","",R129-M129)</x:f>
      </x:c>
      <x:c r="T129" s="19" t="str">
        <x:f>IF(OR(M129="",S129=""),"",S129/M129)</x:f>
      </x:c>
      <x:c r="U129" s="17" t="str">
        <x:f>IF(S129="","",'参数'!$B$3+SUM($S$3:S129))</x:f>
      </x:c>
      <x:c r="V129" s="15"/>
      <x:c r="W129" s="15"/>
      <x:c r="X129" s="15"/>
    </x:row>
    <x:row r="130" ht="25.5" customHeight="1">
      <x:c r="A130" s="15" t="str">
        <x:f>IF(D130="","",ROW()-2)</x:f>
      </x:c>
      <x:c r="B130" s="16"/>
      <x:c r="C130" s="15"/>
      <x:c r="D130" s="15"/>
      <x:c r="E130" s="16"/>
      <x:c r="F130" s="15"/>
      <x:c r="G130" s="15"/>
      <x:c r="H130" s="15"/>
      <x:c r="I130" s="15"/>
      <x:c r="J130" s="15"/>
      <x:c r="K130" s="15"/>
      <x:c r="L130" s="17" t="str">
        <x:f>IF(M130="","",'参数'!$B$3+IF(ROW()=3,0,SUM($S$3:INDEX($S:$S,ROW()-1))))</x:f>
      </x:c>
      <x:c r="M130" s="17"/>
      <x:c r="N130" s="18"/>
      <x:c r="O130" s="19" t="str">
        <x:f>IF(OR(M130="",L130=""),"",M130/L130)</x:f>
      </x:c>
      <x:c r="P130" s="17" t="str">
        <x:f>IF(OR(M130="",N130=""),"",M130*N130)</x:f>
      </x:c>
      <x:c r="Q130" s="17"/>
      <x:c r="R130" s="17" t="str">
        <x:f>IF(OR(M130="",Q130="",Q130="未结算"),"",SWITCH(Q130,"赢",M130*N130,"输",0,"走水",M130,"取消",M130,"半赢",M130*(1+(N130-1)/2),"半输",M130*0.5,""))</x:f>
      </x:c>
      <x:c r="S130" s="17" t="str">
        <x:f>IF(R130="","",R130-M130)</x:f>
      </x:c>
      <x:c r="T130" s="19" t="str">
        <x:f>IF(OR(M130="",S130=""),"",S130/M130)</x:f>
      </x:c>
      <x:c r="U130" s="17" t="str">
        <x:f>IF(S130="","",'参数'!$B$3+SUM($S$3:S130))</x:f>
      </x:c>
      <x:c r="V130" s="15"/>
      <x:c r="W130" s="15"/>
      <x:c r="X130" s="15"/>
    </x:row>
    <x:row r="131" ht="25.5" customHeight="1">
      <x:c r="A131" s="15" t="str">
        <x:f>IF(D131="","",ROW()-2)</x:f>
      </x:c>
      <x:c r="B131" s="16"/>
      <x:c r="C131" s="15"/>
      <x:c r="D131" s="15"/>
      <x:c r="E131" s="16"/>
      <x:c r="F131" s="15"/>
      <x:c r="G131" s="15"/>
      <x:c r="H131" s="15"/>
      <x:c r="I131" s="15"/>
      <x:c r="J131" s="15"/>
      <x:c r="K131" s="15"/>
      <x:c r="L131" s="17" t="str">
        <x:f>IF(M131="","",'参数'!$B$3+IF(ROW()=3,0,SUM($S$3:INDEX($S:$S,ROW()-1))))</x:f>
      </x:c>
      <x:c r="M131" s="17"/>
      <x:c r="N131" s="18"/>
      <x:c r="O131" s="19" t="str">
        <x:f>IF(OR(M131="",L131=""),"",M131/L131)</x:f>
      </x:c>
      <x:c r="P131" s="17" t="str">
        <x:f>IF(OR(M131="",N131=""),"",M131*N131)</x:f>
      </x:c>
      <x:c r="Q131" s="17"/>
      <x:c r="R131" s="17" t="str">
        <x:f>IF(OR(M131="",Q131="",Q131="未结算"),"",SWITCH(Q131,"赢",M131*N131,"输",0,"走水",M131,"取消",M131,"半赢",M131*(1+(N131-1)/2),"半输",M131*0.5,""))</x:f>
      </x:c>
      <x:c r="S131" s="17" t="str">
        <x:f>IF(R131="","",R131-M131)</x:f>
      </x:c>
      <x:c r="T131" s="19" t="str">
        <x:f>IF(OR(M131="",S131=""),"",S131/M131)</x:f>
      </x:c>
      <x:c r="U131" s="17" t="str">
        <x:f>IF(S131="","",'参数'!$B$3+SUM($S$3:S131))</x:f>
      </x:c>
      <x:c r="V131" s="15"/>
      <x:c r="W131" s="15"/>
      <x:c r="X131" s="15"/>
    </x:row>
    <x:row r="132" ht="25.5" customHeight="1">
      <x:c r="A132" s="15" t="str">
        <x:f>IF(D132="","",ROW()-2)</x:f>
      </x:c>
      <x:c r="B132" s="16"/>
      <x:c r="C132" s="15"/>
      <x:c r="D132" s="15"/>
      <x:c r="E132" s="16"/>
      <x:c r="F132" s="15"/>
      <x:c r="G132" s="15"/>
      <x:c r="H132" s="15"/>
      <x:c r="I132" s="15"/>
      <x:c r="J132" s="15"/>
      <x:c r="K132" s="15"/>
      <x:c r="L132" s="17" t="str">
        <x:f>IF(M132="","",'参数'!$B$3+IF(ROW()=3,0,SUM($S$3:INDEX($S:$S,ROW()-1))))</x:f>
      </x:c>
      <x:c r="M132" s="17"/>
      <x:c r="N132" s="18"/>
      <x:c r="O132" s="19" t="str">
        <x:f>IF(OR(M132="",L132=""),"",M132/L132)</x:f>
      </x:c>
      <x:c r="P132" s="17" t="str">
        <x:f>IF(OR(M132="",N132=""),"",M132*N132)</x:f>
      </x:c>
      <x:c r="Q132" s="17"/>
      <x:c r="R132" s="17" t="str">
        <x:f>IF(OR(M132="",Q132="",Q132="未结算"),"",SWITCH(Q132,"赢",M132*N132,"输",0,"走水",M132,"取消",M132,"半赢",M132*(1+(N132-1)/2),"半输",M132*0.5,""))</x:f>
      </x:c>
      <x:c r="S132" s="17" t="str">
        <x:f>IF(R132="","",R132-M132)</x:f>
      </x:c>
      <x:c r="T132" s="19" t="str">
        <x:f>IF(OR(M132="",S132=""),"",S132/M132)</x:f>
      </x:c>
      <x:c r="U132" s="17" t="str">
        <x:f>IF(S132="","",'参数'!$B$3+SUM($S$3:S132))</x:f>
      </x:c>
      <x:c r="V132" s="15"/>
      <x:c r="W132" s="15"/>
      <x:c r="X132" s="15"/>
    </x:row>
    <x:row r="133" ht="25.5" customHeight="1">
      <x:c r="A133" s="15" t="str">
        <x:f>IF(D133="","",ROW()-2)</x:f>
      </x:c>
      <x:c r="B133" s="16"/>
      <x:c r="C133" s="15"/>
      <x:c r="D133" s="15"/>
      <x:c r="E133" s="16"/>
      <x:c r="F133" s="15"/>
      <x:c r="G133" s="15"/>
      <x:c r="H133" s="15"/>
      <x:c r="I133" s="15"/>
      <x:c r="J133" s="15"/>
      <x:c r="K133" s="15"/>
      <x:c r="L133" s="17" t="str">
        <x:f>IF(M133="","",'参数'!$B$3+IF(ROW()=3,0,SUM($S$3:INDEX($S:$S,ROW()-1))))</x:f>
      </x:c>
      <x:c r="M133" s="17"/>
      <x:c r="N133" s="18"/>
      <x:c r="O133" s="19" t="str">
        <x:f>IF(OR(M133="",L133=""),"",M133/L133)</x:f>
      </x:c>
      <x:c r="P133" s="17" t="str">
        <x:f>IF(OR(M133="",N133=""),"",M133*N133)</x:f>
      </x:c>
      <x:c r="Q133" s="17"/>
      <x:c r="R133" s="17" t="str">
        <x:f>IF(OR(M133="",Q133="",Q133="未结算"),"",SWITCH(Q133,"赢",M133*N133,"输",0,"走水",M133,"取消",M133,"半赢",M133*(1+(N133-1)/2),"半输",M133*0.5,""))</x:f>
      </x:c>
      <x:c r="S133" s="17" t="str">
        <x:f>IF(R133="","",R133-M133)</x:f>
      </x:c>
      <x:c r="T133" s="19" t="str">
        <x:f>IF(OR(M133="",S133=""),"",S133/M133)</x:f>
      </x:c>
      <x:c r="U133" s="17" t="str">
        <x:f>IF(S133="","",'参数'!$B$3+SUM($S$3:S133))</x:f>
      </x:c>
      <x:c r="V133" s="15"/>
      <x:c r="W133" s="15"/>
      <x:c r="X133" s="15"/>
    </x:row>
    <x:row r="134" ht="25.5" customHeight="1">
      <x:c r="A134" s="15" t="str">
        <x:f>IF(D134="","",ROW()-2)</x:f>
      </x:c>
      <x:c r="B134" s="16"/>
      <x:c r="C134" s="15"/>
      <x:c r="D134" s="15"/>
      <x:c r="E134" s="16"/>
      <x:c r="F134" s="15"/>
      <x:c r="G134" s="15"/>
      <x:c r="H134" s="15"/>
      <x:c r="I134" s="15"/>
      <x:c r="J134" s="15"/>
      <x:c r="K134" s="15"/>
      <x:c r="L134" s="17" t="str">
        <x:f>IF(M134="","",'参数'!$B$3+IF(ROW()=3,0,SUM($S$3:INDEX($S:$S,ROW()-1))))</x:f>
      </x:c>
      <x:c r="M134" s="17"/>
      <x:c r="N134" s="18"/>
      <x:c r="O134" s="19" t="str">
        <x:f>IF(OR(M134="",L134=""),"",M134/L134)</x:f>
      </x:c>
      <x:c r="P134" s="17" t="str">
        <x:f>IF(OR(M134="",N134=""),"",M134*N134)</x:f>
      </x:c>
      <x:c r="Q134" s="17"/>
      <x:c r="R134" s="17" t="str">
        <x:f>IF(OR(M134="",Q134="",Q134="未结算"),"",SWITCH(Q134,"赢",M134*N134,"输",0,"走水",M134,"取消",M134,"半赢",M134*(1+(N134-1)/2),"半输",M134*0.5,""))</x:f>
      </x:c>
      <x:c r="S134" s="17" t="str">
        <x:f>IF(R134="","",R134-M134)</x:f>
      </x:c>
      <x:c r="T134" s="19" t="str">
        <x:f>IF(OR(M134="",S134=""),"",S134/M134)</x:f>
      </x:c>
      <x:c r="U134" s="17" t="str">
        <x:f>IF(S134="","",'参数'!$B$3+SUM($S$3:S134))</x:f>
      </x:c>
      <x:c r="V134" s="15"/>
      <x:c r="W134" s="15"/>
      <x:c r="X134" s="15"/>
    </x:row>
    <x:row r="135" ht="25.5" customHeight="1">
      <x:c r="A135" s="15" t="str">
        <x:f>IF(D135="","",ROW()-2)</x:f>
      </x:c>
      <x:c r="B135" s="16"/>
      <x:c r="C135" s="15"/>
      <x:c r="D135" s="15"/>
      <x:c r="E135" s="16"/>
      <x:c r="F135" s="15"/>
      <x:c r="G135" s="15"/>
      <x:c r="H135" s="15"/>
      <x:c r="I135" s="15"/>
      <x:c r="J135" s="15"/>
      <x:c r="K135" s="15"/>
      <x:c r="L135" s="17" t="str">
        <x:f>IF(M135="","",'参数'!$B$3+IF(ROW()=3,0,SUM($S$3:INDEX($S:$S,ROW()-1))))</x:f>
      </x:c>
      <x:c r="M135" s="17"/>
      <x:c r="N135" s="18"/>
      <x:c r="O135" s="19" t="str">
        <x:f>IF(OR(M135="",L135=""),"",M135/L135)</x:f>
      </x:c>
      <x:c r="P135" s="17" t="str">
        <x:f>IF(OR(M135="",N135=""),"",M135*N135)</x:f>
      </x:c>
      <x:c r="Q135" s="17"/>
      <x:c r="R135" s="17" t="str">
        <x:f>IF(OR(M135="",Q135="",Q135="未结算"),"",SWITCH(Q135,"赢",M135*N135,"输",0,"走水",M135,"取消",M135,"半赢",M135*(1+(N135-1)/2),"半输",M135*0.5,""))</x:f>
      </x:c>
      <x:c r="S135" s="17" t="str">
        <x:f>IF(R135="","",R135-M135)</x:f>
      </x:c>
      <x:c r="T135" s="19" t="str">
        <x:f>IF(OR(M135="",S135=""),"",S135/M135)</x:f>
      </x:c>
      <x:c r="U135" s="17" t="str">
        <x:f>IF(S135="","",'参数'!$B$3+SUM($S$3:S135))</x:f>
      </x:c>
      <x:c r="V135" s="15"/>
      <x:c r="W135" s="15"/>
      <x:c r="X135" s="15"/>
    </x:row>
    <x:row r="136" ht="25.5" customHeight="1">
      <x:c r="A136" s="15" t="str">
        <x:f>IF(D136="","",ROW()-2)</x:f>
      </x:c>
      <x:c r="B136" s="16"/>
      <x:c r="C136" s="15"/>
      <x:c r="D136" s="15"/>
      <x:c r="E136" s="16"/>
      <x:c r="F136" s="15"/>
      <x:c r="G136" s="15"/>
      <x:c r="H136" s="15"/>
      <x:c r="I136" s="15"/>
      <x:c r="J136" s="15"/>
      <x:c r="K136" s="15"/>
      <x:c r="L136" s="17" t="str">
        <x:f>IF(M136="","",'参数'!$B$3+IF(ROW()=3,0,SUM($S$3:INDEX($S:$S,ROW()-1))))</x:f>
      </x:c>
      <x:c r="M136" s="17"/>
      <x:c r="N136" s="18"/>
      <x:c r="O136" s="19" t="str">
        <x:f>IF(OR(M136="",L136=""),"",M136/L136)</x:f>
      </x:c>
      <x:c r="P136" s="17" t="str">
        <x:f>IF(OR(M136="",N136=""),"",M136*N136)</x:f>
      </x:c>
      <x:c r="Q136" s="17"/>
      <x:c r="R136" s="17" t="str">
        <x:f>IF(OR(M136="",Q136="",Q136="未结算"),"",SWITCH(Q136,"赢",M136*N136,"输",0,"走水",M136,"取消",M136,"半赢",M136*(1+(N136-1)/2),"半输",M136*0.5,""))</x:f>
      </x:c>
      <x:c r="S136" s="17" t="str">
        <x:f>IF(R136="","",R136-M136)</x:f>
      </x:c>
      <x:c r="T136" s="19" t="str">
        <x:f>IF(OR(M136="",S136=""),"",S136/M136)</x:f>
      </x:c>
      <x:c r="U136" s="17" t="str">
        <x:f>IF(S136="","",'参数'!$B$3+SUM($S$3:S136))</x:f>
      </x:c>
      <x:c r="V136" s="15"/>
      <x:c r="W136" s="15"/>
      <x:c r="X136" s="15"/>
    </x:row>
    <x:row r="137" ht="25.5" customHeight="1">
      <x:c r="A137" s="15" t="str">
        <x:f>IF(D137="","",ROW()-2)</x:f>
      </x:c>
      <x:c r="B137" s="16"/>
      <x:c r="C137" s="15"/>
      <x:c r="D137" s="15"/>
      <x:c r="E137" s="16"/>
      <x:c r="F137" s="15"/>
      <x:c r="G137" s="15"/>
      <x:c r="H137" s="15"/>
      <x:c r="I137" s="15"/>
      <x:c r="J137" s="15"/>
      <x:c r="K137" s="15"/>
      <x:c r="L137" s="17" t="str">
        <x:f>IF(M137="","",'参数'!$B$3+IF(ROW()=3,0,SUM($S$3:INDEX($S:$S,ROW()-1))))</x:f>
      </x:c>
      <x:c r="M137" s="17"/>
      <x:c r="N137" s="18"/>
      <x:c r="O137" s="19" t="str">
        <x:f>IF(OR(M137="",L137=""),"",M137/L137)</x:f>
      </x:c>
      <x:c r="P137" s="17" t="str">
        <x:f>IF(OR(M137="",N137=""),"",M137*N137)</x:f>
      </x:c>
      <x:c r="Q137" s="17"/>
      <x:c r="R137" s="17" t="str">
        <x:f>IF(OR(M137="",Q137="",Q137="未结算"),"",SWITCH(Q137,"赢",M137*N137,"输",0,"走水",M137,"取消",M137,"半赢",M137*(1+(N137-1)/2),"半输",M137*0.5,""))</x:f>
      </x:c>
      <x:c r="S137" s="17" t="str">
        <x:f>IF(R137="","",R137-M137)</x:f>
      </x:c>
      <x:c r="T137" s="19" t="str">
        <x:f>IF(OR(M137="",S137=""),"",S137/M137)</x:f>
      </x:c>
      <x:c r="U137" s="17" t="str">
        <x:f>IF(S137="","",'参数'!$B$3+SUM($S$3:S137))</x:f>
      </x:c>
      <x:c r="V137" s="15"/>
      <x:c r="W137" s="15"/>
      <x:c r="X137" s="15"/>
    </x:row>
    <x:row r="138" ht="25.5" customHeight="1">
      <x:c r="A138" s="15" t="str">
        <x:f>IF(D138="","",ROW()-2)</x:f>
      </x:c>
      <x:c r="B138" s="16"/>
      <x:c r="C138" s="15"/>
      <x:c r="D138" s="15"/>
      <x:c r="E138" s="16"/>
      <x:c r="F138" s="15"/>
      <x:c r="G138" s="15"/>
      <x:c r="H138" s="15"/>
      <x:c r="I138" s="15"/>
      <x:c r="J138" s="15"/>
      <x:c r="K138" s="15"/>
      <x:c r="L138" s="17" t="str">
        <x:f>IF(M138="","",'参数'!$B$3+IF(ROW()=3,0,SUM($S$3:INDEX($S:$S,ROW()-1))))</x:f>
      </x:c>
      <x:c r="M138" s="17"/>
      <x:c r="N138" s="18"/>
      <x:c r="O138" s="19" t="str">
        <x:f>IF(OR(M138="",L138=""),"",M138/L138)</x:f>
      </x:c>
      <x:c r="P138" s="17" t="str">
        <x:f>IF(OR(M138="",N138=""),"",M138*N138)</x:f>
      </x:c>
      <x:c r="Q138" s="17"/>
      <x:c r="R138" s="17" t="str">
        <x:f>IF(OR(M138="",Q138="",Q138="未结算"),"",SWITCH(Q138,"赢",M138*N138,"输",0,"走水",M138,"取消",M138,"半赢",M138*(1+(N138-1)/2),"半输",M138*0.5,""))</x:f>
      </x:c>
      <x:c r="S138" s="17" t="str">
        <x:f>IF(R138="","",R138-M138)</x:f>
      </x:c>
      <x:c r="T138" s="19" t="str">
        <x:f>IF(OR(M138="",S138=""),"",S138/M138)</x:f>
      </x:c>
      <x:c r="U138" s="17" t="str">
        <x:f>IF(S138="","",'参数'!$B$3+SUM($S$3:S138))</x:f>
      </x:c>
      <x:c r="V138" s="15"/>
      <x:c r="W138" s="15"/>
      <x:c r="X138" s="15"/>
    </x:row>
    <x:row r="139" ht="25.5" customHeight="1">
      <x:c r="A139" s="15" t="str">
        <x:f>IF(D139="","",ROW()-2)</x:f>
      </x:c>
      <x:c r="B139" s="16"/>
      <x:c r="C139" s="15"/>
      <x:c r="D139" s="15"/>
      <x:c r="E139" s="16"/>
      <x:c r="F139" s="15"/>
      <x:c r="G139" s="15"/>
      <x:c r="H139" s="15"/>
      <x:c r="I139" s="15"/>
      <x:c r="J139" s="15"/>
      <x:c r="K139" s="15"/>
      <x:c r="L139" s="17" t="str">
        <x:f>IF(M139="","",'参数'!$B$3+IF(ROW()=3,0,SUM($S$3:INDEX($S:$S,ROW()-1))))</x:f>
      </x:c>
      <x:c r="M139" s="17"/>
      <x:c r="N139" s="18"/>
      <x:c r="O139" s="19" t="str">
        <x:f>IF(OR(M139="",L139=""),"",M139/L139)</x:f>
      </x:c>
      <x:c r="P139" s="17" t="str">
        <x:f>IF(OR(M139="",N139=""),"",M139*N139)</x:f>
      </x:c>
      <x:c r="Q139" s="17"/>
      <x:c r="R139" s="17" t="str">
        <x:f>IF(OR(M139="",Q139="",Q139="未结算"),"",SWITCH(Q139,"赢",M139*N139,"输",0,"走水",M139,"取消",M139,"半赢",M139*(1+(N139-1)/2),"半输",M139*0.5,""))</x:f>
      </x:c>
      <x:c r="S139" s="17" t="str">
        <x:f>IF(R139="","",R139-M139)</x:f>
      </x:c>
      <x:c r="T139" s="19" t="str">
        <x:f>IF(OR(M139="",S139=""),"",S139/M139)</x:f>
      </x:c>
      <x:c r="U139" s="17" t="str">
        <x:f>IF(S139="","",'参数'!$B$3+SUM($S$3:S139))</x:f>
      </x:c>
      <x:c r="V139" s="15"/>
      <x:c r="W139" s="15"/>
      <x:c r="X139" s="15"/>
    </x:row>
    <x:row r="140" ht="25.5" customHeight="1">
      <x:c r="A140" s="15" t="str">
        <x:f>IF(D140="","",ROW()-2)</x:f>
      </x:c>
      <x:c r="B140" s="16"/>
      <x:c r="C140" s="15"/>
      <x:c r="D140" s="15"/>
      <x:c r="E140" s="16"/>
      <x:c r="F140" s="15"/>
      <x:c r="G140" s="15"/>
      <x:c r="H140" s="15"/>
      <x:c r="I140" s="15"/>
      <x:c r="J140" s="15"/>
      <x:c r="K140" s="15"/>
      <x:c r="L140" s="17" t="str">
        <x:f>IF(M140="","",'参数'!$B$3+IF(ROW()=3,0,SUM($S$3:INDEX($S:$S,ROW()-1))))</x:f>
      </x:c>
      <x:c r="M140" s="17"/>
      <x:c r="N140" s="18"/>
      <x:c r="O140" s="19" t="str">
        <x:f>IF(OR(M140="",L140=""),"",M140/L140)</x:f>
      </x:c>
      <x:c r="P140" s="17" t="str">
        <x:f>IF(OR(M140="",N140=""),"",M140*N140)</x:f>
      </x:c>
      <x:c r="Q140" s="17"/>
      <x:c r="R140" s="17" t="str">
        <x:f>IF(OR(M140="",Q140="",Q140="未结算"),"",SWITCH(Q140,"赢",M140*N140,"输",0,"走水",M140,"取消",M140,"半赢",M140*(1+(N140-1)/2),"半输",M140*0.5,""))</x:f>
      </x:c>
      <x:c r="S140" s="17" t="str">
        <x:f>IF(R140="","",R140-M140)</x:f>
      </x:c>
      <x:c r="T140" s="19" t="str">
        <x:f>IF(OR(M140="",S140=""),"",S140/M140)</x:f>
      </x:c>
      <x:c r="U140" s="17" t="str">
        <x:f>IF(S140="","",'参数'!$B$3+SUM($S$3:S140))</x:f>
      </x:c>
      <x:c r="V140" s="15"/>
      <x:c r="W140" s="15"/>
      <x:c r="X140" s="15"/>
    </x:row>
    <x:row r="141" ht="25.5" customHeight="1">
      <x:c r="A141" s="15" t="str">
        <x:f>IF(D141="","",ROW()-2)</x:f>
      </x:c>
      <x:c r="B141" s="16"/>
      <x:c r="C141" s="15"/>
      <x:c r="D141" s="15"/>
      <x:c r="E141" s="16"/>
      <x:c r="F141" s="15"/>
      <x:c r="G141" s="15"/>
      <x:c r="H141" s="15"/>
      <x:c r="I141" s="15"/>
      <x:c r="J141" s="15"/>
      <x:c r="K141" s="15"/>
      <x:c r="L141" s="17" t="str">
        <x:f>IF(M141="","",'参数'!$B$3+IF(ROW()=3,0,SUM($S$3:INDEX($S:$S,ROW()-1))))</x:f>
      </x:c>
      <x:c r="M141" s="17"/>
      <x:c r="N141" s="18"/>
      <x:c r="O141" s="19" t="str">
        <x:f>IF(OR(M141="",L141=""),"",M141/L141)</x:f>
      </x:c>
      <x:c r="P141" s="17" t="str">
        <x:f>IF(OR(M141="",N141=""),"",M141*N141)</x:f>
      </x:c>
      <x:c r="Q141" s="17"/>
      <x:c r="R141" s="17" t="str">
        <x:f>IF(OR(M141="",Q141="",Q141="未结算"),"",SWITCH(Q141,"赢",M141*N141,"输",0,"走水",M141,"取消",M141,"半赢",M141*(1+(N141-1)/2),"半输",M141*0.5,""))</x:f>
      </x:c>
      <x:c r="S141" s="17" t="str">
        <x:f>IF(R141="","",R141-M141)</x:f>
      </x:c>
      <x:c r="T141" s="19" t="str">
        <x:f>IF(OR(M141="",S141=""),"",S141/M141)</x:f>
      </x:c>
      <x:c r="U141" s="17" t="str">
        <x:f>IF(S141="","",'参数'!$B$3+SUM($S$3:S141))</x:f>
      </x:c>
      <x:c r="V141" s="15"/>
      <x:c r="W141" s="15"/>
      <x:c r="X141" s="15"/>
    </x:row>
    <x:row r="142" ht="25.5" customHeight="1">
      <x:c r="A142" s="15" t="str">
        <x:f>IF(D142="","",ROW()-2)</x:f>
      </x:c>
      <x:c r="B142" s="16"/>
      <x:c r="C142" s="15"/>
      <x:c r="D142" s="15"/>
      <x:c r="E142" s="16"/>
      <x:c r="F142" s="15"/>
      <x:c r="G142" s="15"/>
      <x:c r="H142" s="15"/>
      <x:c r="I142" s="15"/>
      <x:c r="J142" s="15"/>
      <x:c r="K142" s="15"/>
      <x:c r="L142" s="17" t="str">
        <x:f>IF(M142="","",'参数'!$B$3+IF(ROW()=3,0,SUM($S$3:INDEX($S:$S,ROW()-1))))</x:f>
      </x:c>
      <x:c r="M142" s="17"/>
      <x:c r="N142" s="18"/>
      <x:c r="O142" s="19" t="str">
        <x:f>IF(OR(M142="",L142=""),"",M142/L142)</x:f>
      </x:c>
      <x:c r="P142" s="17" t="str">
        <x:f>IF(OR(M142="",N142=""),"",M142*N142)</x:f>
      </x:c>
      <x:c r="Q142" s="17"/>
      <x:c r="R142" s="17" t="str">
        <x:f>IF(OR(M142="",Q142="",Q142="未结算"),"",SWITCH(Q142,"赢",M142*N142,"输",0,"走水",M142,"取消",M142,"半赢",M142*(1+(N142-1)/2),"半输",M142*0.5,""))</x:f>
      </x:c>
      <x:c r="S142" s="17" t="str">
        <x:f>IF(R142="","",R142-M142)</x:f>
      </x:c>
      <x:c r="T142" s="19" t="str">
        <x:f>IF(OR(M142="",S142=""),"",S142/M142)</x:f>
      </x:c>
      <x:c r="U142" s="17" t="str">
        <x:f>IF(S142="","",'参数'!$B$3+SUM($S$3:S142))</x:f>
      </x:c>
      <x:c r="V142" s="15"/>
      <x:c r="W142" s="15"/>
      <x:c r="X142" s="15"/>
    </x:row>
    <x:row r="143" ht="25.5" customHeight="1">
      <x:c r="A143" s="15" t="str">
        <x:f>IF(D143="","",ROW()-2)</x:f>
      </x:c>
      <x:c r="B143" s="16"/>
      <x:c r="C143" s="15"/>
      <x:c r="D143" s="15"/>
      <x:c r="E143" s="16"/>
      <x:c r="F143" s="15"/>
      <x:c r="G143" s="15"/>
      <x:c r="H143" s="15"/>
      <x:c r="I143" s="15"/>
      <x:c r="J143" s="15"/>
      <x:c r="K143" s="15"/>
      <x:c r="L143" s="17" t="str">
        <x:f>IF(M143="","",'参数'!$B$3+IF(ROW()=3,0,SUM($S$3:INDEX($S:$S,ROW()-1))))</x:f>
      </x:c>
      <x:c r="M143" s="17"/>
      <x:c r="N143" s="18"/>
      <x:c r="O143" s="19" t="str">
        <x:f>IF(OR(M143="",L143=""),"",M143/L143)</x:f>
      </x:c>
      <x:c r="P143" s="17" t="str">
        <x:f>IF(OR(M143="",N143=""),"",M143*N143)</x:f>
      </x:c>
      <x:c r="Q143" s="17"/>
      <x:c r="R143" s="17" t="str">
        <x:f>IF(OR(M143="",Q143="",Q143="未结算"),"",SWITCH(Q143,"赢",M143*N143,"输",0,"走水",M143,"取消",M143,"半赢",M143*(1+(N143-1)/2),"半输",M143*0.5,""))</x:f>
      </x:c>
      <x:c r="S143" s="17" t="str">
        <x:f>IF(R143="","",R143-M143)</x:f>
      </x:c>
      <x:c r="T143" s="19" t="str">
        <x:f>IF(OR(M143="",S143=""),"",S143/M143)</x:f>
      </x:c>
      <x:c r="U143" s="17" t="str">
        <x:f>IF(S143="","",'参数'!$B$3+SUM($S$3:S143))</x:f>
      </x:c>
      <x:c r="V143" s="15"/>
      <x:c r="W143" s="15"/>
      <x:c r="X143" s="15"/>
    </x:row>
    <x:row r="144" ht="25.5" customHeight="1">
      <x:c r="A144" s="15" t="str">
        <x:f>IF(D144="","",ROW()-2)</x:f>
      </x:c>
      <x:c r="B144" s="16"/>
      <x:c r="C144" s="15"/>
      <x:c r="D144" s="15"/>
      <x:c r="E144" s="16"/>
      <x:c r="F144" s="15"/>
      <x:c r="G144" s="15"/>
      <x:c r="H144" s="15"/>
      <x:c r="I144" s="15"/>
      <x:c r="J144" s="15"/>
      <x:c r="K144" s="15"/>
      <x:c r="L144" s="17" t="str">
        <x:f>IF(M144="","",'参数'!$B$3+IF(ROW()=3,0,SUM($S$3:INDEX($S:$S,ROW()-1))))</x:f>
      </x:c>
      <x:c r="M144" s="17"/>
      <x:c r="N144" s="18"/>
      <x:c r="O144" s="19" t="str">
        <x:f>IF(OR(M144="",L144=""),"",M144/L144)</x:f>
      </x:c>
      <x:c r="P144" s="17" t="str">
        <x:f>IF(OR(M144="",N144=""),"",M144*N144)</x:f>
      </x:c>
      <x:c r="Q144" s="17"/>
      <x:c r="R144" s="17" t="str">
        <x:f>IF(OR(M144="",Q144="",Q144="未结算"),"",SWITCH(Q144,"赢",M144*N144,"输",0,"走水",M144,"取消",M144,"半赢",M144*(1+(N144-1)/2),"半输",M144*0.5,""))</x:f>
      </x:c>
      <x:c r="S144" s="17" t="str">
        <x:f>IF(R144="","",R144-M144)</x:f>
      </x:c>
      <x:c r="T144" s="19" t="str">
        <x:f>IF(OR(M144="",S144=""),"",S144/M144)</x:f>
      </x:c>
      <x:c r="U144" s="17" t="str">
        <x:f>IF(S144="","",'参数'!$B$3+SUM($S$3:S144))</x:f>
      </x:c>
      <x:c r="V144" s="15"/>
      <x:c r="W144" s="15"/>
      <x:c r="X144" s="15"/>
    </x:row>
    <x:row r="145" ht="25.5" customHeight="1">
      <x:c r="A145" s="15" t="str">
        <x:f>IF(D145="","",ROW()-2)</x:f>
      </x:c>
      <x:c r="B145" s="16"/>
      <x:c r="C145" s="15"/>
      <x:c r="D145" s="15"/>
      <x:c r="E145" s="16"/>
      <x:c r="F145" s="15"/>
      <x:c r="G145" s="15"/>
      <x:c r="H145" s="15"/>
      <x:c r="I145" s="15"/>
      <x:c r="J145" s="15"/>
      <x:c r="K145" s="15"/>
      <x:c r="L145" s="17" t="str">
        <x:f>IF(M145="","",'参数'!$B$3+IF(ROW()=3,0,SUM($S$3:INDEX($S:$S,ROW()-1))))</x:f>
      </x:c>
      <x:c r="M145" s="17"/>
      <x:c r="N145" s="18"/>
      <x:c r="O145" s="19" t="str">
        <x:f>IF(OR(M145="",L145=""),"",M145/L145)</x:f>
      </x:c>
      <x:c r="P145" s="17" t="str">
        <x:f>IF(OR(M145="",N145=""),"",M145*N145)</x:f>
      </x:c>
      <x:c r="Q145" s="17"/>
      <x:c r="R145" s="17" t="str">
        <x:f>IF(OR(M145="",Q145="",Q145="未结算"),"",SWITCH(Q145,"赢",M145*N145,"输",0,"走水",M145,"取消",M145,"半赢",M145*(1+(N145-1)/2),"半输",M145*0.5,""))</x:f>
      </x:c>
      <x:c r="S145" s="17" t="str">
        <x:f>IF(R145="","",R145-M145)</x:f>
      </x:c>
      <x:c r="T145" s="19" t="str">
        <x:f>IF(OR(M145="",S145=""),"",S145/M145)</x:f>
      </x:c>
      <x:c r="U145" s="17" t="str">
        <x:f>IF(S145="","",'参数'!$B$3+SUM($S$3:S145))</x:f>
      </x:c>
      <x:c r="V145" s="15"/>
      <x:c r="W145" s="15"/>
      <x:c r="X145" s="15"/>
    </x:row>
    <x:row r="146" ht="25.5" customHeight="1">
      <x:c r="A146" s="15" t="str">
        <x:f>IF(D146="","",ROW()-2)</x:f>
      </x:c>
      <x:c r="B146" s="16"/>
      <x:c r="C146" s="15"/>
      <x:c r="D146" s="15"/>
      <x:c r="E146" s="16"/>
      <x:c r="F146" s="15"/>
      <x:c r="G146" s="15"/>
      <x:c r="H146" s="15"/>
      <x:c r="I146" s="15"/>
      <x:c r="J146" s="15"/>
      <x:c r="K146" s="15"/>
      <x:c r="L146" s="17" t="str">
        <x:f>IF(M146="","",'参数'!$B$3+IF(ROW()=3,0,SUM($S$3:INDEX($S:$S,ROW()-1))))</x:f>
      </x:c>
      <x:c r="M146" s="17"/>
      <x:c r="N146" s="18"/>
      <x:c r="O146" s="19" t="str">
        <x:f>IF(OR(M146="",L146=""),"",M146/L146)</x:f>
      </x:c>
      <x:c r="P146" s="17" t="str">
        <x:f>IF(OR(M146="",N146=""),"",M146*N146)</x:f>
      </x:c>
      <x:c r="Q146" s="17"/>
      <x:c r="R146" s="17" t="str">
        <x:f>IF(OR(M146="",Q146="",Q146="未结算"),"",SWITCH(Q146,"赢",M146*N146,"输",0,"走水",M146,"取消",M146,"半赢",M146*(1+(N146-1)/2),"半输",M146*0.5,""))</x:f>
      </x:c>
      <x:c r="S146" s="17" t="str">
        <x:f>IF(R146="","",R146-M146)</x:f>
      </x:c>
      <x:c r="T146" s="19" t="str">
        <x:f>IF(OR(M146="",S146=""),"",S146/M146)</x:f>
      </x:c>
      <x:c r="U146" s="17" t="str">
        <x:f>IF(S146="","",'参数'!$B$3+SUM($S$3:S146))</x:f>
      </x:c>
      <x:c r="V146" s="15"/>
      <x:c r="W146" s="15"/>
      <x:c r="X146" s="15"/>
    </x:row>
    <x:row r="147" ht="25.5" customHeight="1">
      <x:c r="A147" s="15" t="str">
        <x:f>IF(D147="","",ROW()-2)</x:f>
      </x:c>
      <x:c r="B147" s="16"/>
      <x:c r="C147" s="15"/>
      <x:c r="D147" s="15"/>
      <x:c r="E147" s="16"/>
      <x:c r="F147" s="15"/>
      <x:c r="G147" s="15"/>
      <x:c r="H147" s="15"/>
      <x:c r="I147" s="15"/>
      <x:c r="J147" s="15"/>
      <x:c r="K147" s="15"/>
      <x:c r="L147" s="17" t="str">
        <x:f>IF(M147="","",'参数'!$B$3+IF(ROW()=3,0,SUM($S$3:INDEX($S:$S,ROW()-1))))</x:f>
      </x:c>
      <x:c r="M147" s="17"/>
      <x:c r="N147" s="18"/>
      <x:c r="O147" s="19" t="str">
        <x:f>IF(OR(M147="",L147=""),"",M147/L147)</x:f>
      </x:c>
      <x:c r="P147" s="17" t="str">
        <x:f>IF(OR(M147="",N147=""),"",M147*N147)</x:f>
      </x:c>
      <x:c r="Q147" s="17"/>
      <x:c r="R147" s="17" t="str">
        <x:f>IF(OR(M147="",Q147="",Q147="未结算"),"",SWITCH(Q147,"赢",M147*N147,"输",0,"走水",M147,"取消",M147,"半赢",M147*(1+(N147-1)/2),"半输",M147*0.5,""))</x:f>
      </x:c>
      <x:c r="S147" s="17" t="str">
        <x:f>IF(R147="","",R147-M147)</x:f>
      </x:c>
      <x:c r="T147" s="19" t="str">
        <x:f>IF(OR(M147="",S147=""),"",S147/M147)</x:f>
      </x:c>
      <x:c r="U147" s="17" t="str">
        <x:f>IF(S147="","",'参数'!$B$3+SUM($S$3:S147))</x:f>
      </x:c>
      <x:c r="V147" s="15"/>
      <x:c r="W147" s="15"/>
      <x:c r="X147" s="15"/>
    </x:row>
    <x:row r="148" ht="25.5" customHeight="1">
      <x:c r="A148" s="15" t="str">
        <x:f>IF(D148="","",ROW()-2)</x:f>
      </x:c>
      <x:c r="B148" s="16"/>
      <x:c r="C148" s="15"/>
      <x:c r="D148" s="15"/>
      <x:c r="E148" s="16"/>
      <x:c r="F148" s="15"/>
      <x:c r="G148" s="15"/>
      <x:c r="H148" s="15"/>
      <x:c r="I148" s="15"/>
      <x:c r="J148" s="15"/>
      <x:c r="K148" s="15"/>
      <x:c r="L148" s="17" t="str">
        <x:f>IF(M148="","",'参数'!$B$3+IF(ROW()=3,0,SUM($S$3:INDEX($S:$S,ROW()-1))))</x:f>
      </x:c>
      <x:c r="M148" s="17"/>
      <x:c r="N148" s="18"/>
      <x:c r="O148" s="19" t="str">
        <x:f>IF(OR(M148="",L148=""),"",M148/L148)</x:f>
      </x:c>
      <x:c r="P148" s="17" t="str">
        <x:f>IF(OR(M148="",N148=""),"",M148*N148)</x:f>
      </x:c>
      <x:c r="Q148" s="17"/>
      <x:c r="R148" s="17" t="str">
        <x:f>IF(OR(M148="",Q148="",Q148="未结算"),"",SWITCH(Q148,"赢",M148*N148,"输",0,"走水",M148,"取消",M148,"半赢",M148*(1+(N148-1)/2),"半输",M148*0.5,""))</x:f>
      </x:c>
      <x:c r="S148" s="17" t="str">
        <x:f>IF(R148="","",R148-M148)</x:f>
      </x:c>
      <x:c r="T148" s="19" t="str">
        <x:f>IF(OR(M148="",S148=""),"",S148/M148)</x:f>
      </x:c>
      <x:c r="U148" s="17" t="str">
        <x:f>IF(S148="","",'参数'!$B$3+SUM($S$3:S148))</x:f>
      </x:c>
      <x:c r="V148" s="15"/>
      <x:c r="W148" s="15"/>
      <x:c r="X148" s="15"/>
    </x:row>
    <x:row r="149" ht="25.5" customHeight="1">
      <x:c r="A149" s="15" t="str">
        <x:f>IF(D149="","",ROW()-2)</x:f>
      </x:c>
      <x:c r="B149" s="16"/>
      <x:c r="C149" s="15"/>
      <x:c r="D149" s="15"/>
      <x:c r="E149" s="16"/>
      <x:c r="F149" s="15"/>
      <x:c r="G149" s="15"/>
      <x:c r="H149" s="15"/>
      <x:c r="I149" s="15"/>
      <x:c r="J149" s="15"/>
      <x:c r="K149" s="15"/>
      <x:c r="L149" s="17" t="str">
        <x:f>IF(M149="","",'参数'!$B$3+IF(ROW()=3,0,SUM($S$3:INDEX($S:$S,ROW()-1))))</x:f>
      </x:c>
      <x:c r="M149" s="17"/>
      <x:c r="N149" s="18"/>
      <x:c r="O149" s="19" t="str">
        <x:f>IF(OR(M149="",L149=""),"",M149/L149)</x:f>
      </x:c>
      <x:c r="P149" s="17" t="str">
        <x:f>IF(OR(M149="",N149=""),"",M149*N149)</x:f>
      </x:c>
      <x:c r="Q149" s="17"/>
      <x:c r="R149" s="17" t="str">
        <x:f>IF(OR(M149="",Q149="",Q149="未结算"),"",SWITCH(Q149,"赢",M149*N149,"输",0,"走水",M149,"取消",M149,"半赢",M149*(1+(N149-1)/2),"半输",M149*0.5,""))</x:f>
      </x:c>
      <x:c r="S149" s="17" t="str">
        <x:f>IF(R149="","",R149-M149)</x:f>
      </x:c>
      <x:c r="T149" s="19" t="str">
        <x:f>IF(OR(M149="",S149=""),"",S149/M149)</x:f>
      </x:c>
      <x:c r="U149" s="17" t="str">
        <x:f>IF(S149="","",'参数'!$B$3+SUM($S$3:S149))</x:f>
      </x:c>
      <x:c r="V149" s="15"/>
      <x:c r="W149" s="15"/>
      <x:c r="X149" s="15"/>
    </x:row>
    <x:row r="150" ht="25.5" customHeight="1">
      <x:c r="A150" s="15" t="str">
        <x:f>IF(D150="","",ROW()-2)</x:f>
      </x:c>
      <x:c r="B150" s="16"/>
      <x:c r="C150" s="15"/>
      <x:c r="D150" s="15"/>
      <x:c r="E150" s="16"/>
      <x:c r="F150" s="15"/>
      <x:c r="G150" s="15"/>
      <x:c r="H150" s="15"/>
      <x:c r="I150" s="15"/>
      <x:c r="J150" s="15"/>
      <x:c r="K150" s="15"/>
      <x:c r="L150" s="17" t="str">
        <x:f>IF(M150="","",'参数'!$B$3+IF(ROW()=3,0,SUM($S$3:INDEX($S:$S,ROW()-1))))</x:f>
      </x:c>
      <x:c r="M150" s="17"/>
      <x:c r="N150" s="18"/>
      <x:c r="O150" s="19" t="str">
        <x:f>IF(OR(M150="",L150=""),"",M150/L150)</x:f>
      </x:c>
      <x:c r="P150" s="17" t="str">
        <x:f>IF(OR(M150="",N150=""),"",M150*N150)</x:f>
      </x:c>
      <x:c r="Q150" s="17"/>
      <x:c r="R150" s="17" t="str">
        <x:f>IF(OR(M150="",Q150="",Q150="未结算"),"",SWITCH(Q150,"赢",M150*N150,"输",0,"走水",M150,"取消",M150,"半赢",M150*(1+(N150-1)/2),"半输",M150*0.5,""))</x:f>
      </x:c>
      <x:c r="S150" s="17" t="str">
        <x:f>IF(R150="","",R150-M150)</x:f>
      </x:c>
      <x:c r="T150" s="19" t="str">
        <x:f>IF(OR(M150="",S150=""),"",S150/M150)</x:f>
      </x:c>
      <x:c r="U150" s="17" t="str">
        <x:f>IF(S150="","",'参数'!$B$3+SUM($S$3:S150))</x:f>
      </x:c>
      <x:c r="V150" s="15"/>
      <x:c r="W150" s="15"/>
      <x:c r="X150" s="15"/>
    </x:row>
    <x:row r="151" ht="25.5" customHeight="1">
      <x:c r="A151" s="15" t="str">
        <x:f>IF(D151="","",ROW()-2)</x:f>
      </x:c>
      <x:c r="B151" s="16"/>
      <x:c r="C151" s="15"/>
      <x:c r="D151" s="15"/>
      <x:c r="E151" s="16"/>
      <x:c r="F151" s="15"/>
      <x:c r="G151" s="15"/>
      <x:c r="H151" s="15"/>
      <x:c r="I151" s="15"/>
      <x:c r="J151" s="15"/>
      <x:c r="K151" s="15"/>
      <x:c r="L151" s="17" t="str">
        <x:f>IF(M151="","",'参数'!$B$3+IF(ROW()=3,0,SUM($S$3:INDEX($S:$S,ROW()-1))))</x:f>
      </x:c>
      <x:c r="M151" s="17"/>
      <x:c r="N151" s="18"/>
      <x:c r="O151" s="19" t="str">
        <x:f>IF(OR(M151="",L151=""),"",M151/L151)</x:f>
      </x:c>
      <x:c r="P151" s="17" t="str">
        <x:f>IF(OR(M151="",N151=""),"",M151*N151)</x:f>
      </x:c>
      <x:c r="Q151" s="17"/>
      <x:c r="R151" s="17" t="str">
        <x:f>IF(OR(M151="",Q151="",Q151="未结算"),"",SWITCH(Q151,"赢",M151*N151,"输",0,"走水",M151,"取消",M151,"半赢",M151*(1+(N151-1)/2),"半输",M151*0.5,""))</x:f>
      </x:c>
      <x:c r="S151" s="17" t="str">
        <x:f>IF(R151="","",R151-M151)</x:f>
      </x:c>
      <x:c r="T151" s="19" t="str">
        <x:f>IF(OR(M151="",S151=""),"",S151/M151)</x:f>
      </x:c>
      <x:c r="U151" s="17" t="str">
        <x:f>IF(S151="","",'参数'!$B$3+SUM($S$3:S151))</x:f>
      </x:c>
      <x:c r="V151" s="15"/>
      <x:c r="W151" s="15"/>
      <x:c r="X151" s="15"/>
    </x:row>
    <x:row r="152" ht="25.5" customHeight="1">
      <x:c r="A152" s="15" t="str">
        <x:f>IF(D152="","",ROW()-2)</x:f>
      </x:c>
      <x:c r="B152" s="16"/>
      <x:c r="C152" s="15"/>
      <x:c r="D152" s="15"/>
      <x:c r="E152" s="16"/>
      <x:c r="F152" s="15"/>
      <x:c r="G152" s="15"/>
      <x:c r="H152" s="15"/>
      <x:c r="I152" s="15"/>
      <x:c r="J152" s="15"/>
      <x:c r="K152" s="15"/>
      <x:c r="L152" s="17" t="str">
        <x:f>IF(M152="","",'参数'!$B$3+IF(ROW()=3,0,SUM($S$3:INDEX($S:$S,ROW()-1))))</x:f>
      </x:c>
      <x:c r="M152" s="17"/>
      <x:c r="N152" s="18"/>
      <x:c r="O152" s="19" t="str">
        <x:f>IF(OR(M152="",L152=""),"",M152/L152)</x:f>
      </x:c>
      <x:c r="P152" s="17" t="str">
        <x:f>IF(OR(M152="",N152=""),"",M152*N152)</x:f>
      </x:c>
      <x:c r="Q152" s="17"/>
      <x:c r="R152" s="17" t="str">
        <x:f>IF(OR(M152="",Q152="",Q152="未结算"),"",SWITCH(Q152,"赢",M152*N152,"输",0,"走水",M152,"取消",M152,"半赢",M152*(1+(N152-1)/2),"半输",M152*0.5,""))</x:f>
      </x:c>
      <x:c r="S152" s="17" t="str">
        <x:f>IF(R152="","",R152-M152)</x:f>
      </x:c>
      <x:c r="T152" s="19" t="str">
        <x:f>IF(OR(M152="",S152=""),"",S152/M152)</x:f>
      </x:c>
      <x:c r="U152" s="17" t="str">
        <x:f>IF(S152="","",'参数'!$B$3+SUM($S$3:S152))</x:f>
      </x:c>
      <x:c r="V152" s="15"/>
      <x:c r="W152" s="15"/>
      <x:c r="X152" s="15"/>
    </x:row>
    <x:row r="153" ht="25.5" customHeight="1">
      <x:c r="A153" s="15" t="str">
        <x:f>IF(D153="","",ROW()-2)</x:f>
      </x:c>
      <x:c r="B153" s="16"/>
      <x:c r="C153" s="15"/>
      <x:c r="D153" s="15"/>
      <x:c r="E153" s="16"/>
      <x:c r="F153" s="15"/>
      <x:c r="G153" s="15"/>
      <x:c r="H153" s="15"/>
      <x:c r="I153" s="15"/>
      <x:c r="J153" s="15"/>
      <x:c r="K153" s="15"/>
      <x:c r="L153" s="17" t="str">
        <x:f>IF(M153="","",'参数'!$B$3+IF(ROW()=3,0,SUM($S$3:INDEX($S:$S,ROW()-1))))</x:f>
      </x:c>
      <x:c r="M153" s="17"/>
      <x:c r="N153" s="18"/>
      <x:c r="O153" s="19" t="str">
        <x:f>IF(OR(M153="",L153=""),"",M153/L153)</x:f>
      </x:c>
      <x:c r="P153" s="17" t="str">
        <x:f>IF(OR(M153="",N153=""),"",M153*N153)</x:f>
      </x:c>
      <x:c r="Q153" s="17"/>
      <x:c r="R153" s="17" t="str">
        <x:f>IF(OR(M153="",Q153="",Q153="未结算"),"",SWITCH(Q153,"赢",M153*N153,"输",0,"走水",M153,"取消",M153,"半赢",M153*(1+(N153-1)/2),"半输",M153*0.5,""))</x:f>
      </x:c>
      <x:c r="S153" s="17" t="str">
        <x:f>IF(R153="","",R153-M153)</x:f>
      </x:c>
      <x:c r="T153" s="19" t="str">
        <x:f>IF(OR(M153="",S153=""),"",S153/M153)</x:f>
      </x:c>
      <x:c r="U153" s="17" t="str">
        <x:f>IF(S153="","",'参数'!$B$3+SUM($S$3:S153))</x:f>
      </x:c>
      <x:c r="V153" s="15"/>
      <x:c r="W153" s="15"/>
      <x:c r="X153" s="15"/>
    </x:row>
    <x:row r="154" ht="25.5" customHeight="1">
      <x:c r="A154" s="15" t="str">
        <x:f>IF(D154="","",ROW()-2)</x:f>
      </x:c>
      <x:c r="B154" s="16"/>
      <x:c r="C154" s="15"/>
      <x:c r="D154" s="15"/>
      <x:c r="E154" s="16"/>
      <x:c r="F154" s="15"/>
      <x:c r="G154" s="15"/>
      <x:c r="H154" s="15"/>
      <x:c r="I154" s="15"/>
      <x:c r="J154" s="15"/>
      <x:c r="K154" s="15"/>
      <x:c r="L154" s="17" t="str">
        <x:f>IF(M154="","",'参数'!$B$3+IF(ROW()=3,0,SUM($S$3:INDEX($S:$S,ROW()-1))))</x:f>
      </x:c>
      <x:c r="M154" s="17"/>
      <x:c r="N154" s="18"/>
      <x:c r="O154" s="19" t="str">
        <x:f>IF(OR(M154="",L154=""),"",M154/L154)</x:f>
      </x:c>
      <x:c r="P154" s="17" t="str">
        <x:f>IF(OR(M154="",N154=""),"",M154*N154)</x:f>
      </x:c>
      <x:c r="Q154" s="17"/>
      <x:c r="R154" s="17" t="str">
        <x:f>IF(OR(M154="",Q154="",Q154="未结算"),"",SWITCH(Q154,"赢",M154*N154,"输",0,"走水",M154,"取消",M154,"半赢",M154*(1+(N154-1)/2),"半输",M154*0.5,""))</x:f>
      </x:c>
      <x:c r="S154" s="17" t="str">
        <x:f>IF(R154="","",R154-M154)</x:f>
      </x:c>
      <x:c r="T154" s="19" t="str">
        <x:f>IF(OR(M154="",S154=""),"",S154/M154)</x:f>
      </x:c>
      <x:c r="U154" s="17" t="str">
        <x:f>IF(S154="","",'参数'!$B$3+SUM($S$3:S154))</x:f>
      </x:c>
      <x:c r="V154" s="15"/>
      <x:c r="W154" s="15"/>
      <x:c r="X154" s="15"/>
    </x:row>
    <x:row r="155" ht="25.5" customHeight="1">
      <x:c r="A155" s="15" t="str">
        <x:f>IF(D155="","",ROW()-2)</x:f>
      </x:c>
      <x:c r="B155" s="16"/>
      <x:c r="C155" s="15"/>
      <x:c r="D155" s="15"/>
      <x:c r="E155" s="16"/>
      <x:c r="F155" s="15"/>
      <x:c r="G155" s="15"/>
      <x:c r="H155" s="15"/>
      <x:c r="I155" s="15"/>
      <x:c r="J155" s="15"/>
      <x:c r="K155" s="15"/>
      <x:c r="L155" s="17" t="str">
        <x:f>IF(M155="","",'参数'!$B$3+IF(ROW()=3,0,SUM($S$3:INDEX($S:$S,ROW()-1))))</x:f>
      </x:c>
      <x:c r="M155" s="17"/>
      <x:c r="N155" s="18"/>
      <x:c r="O155" s="19" t="str">
        <x:f>IF(OR(M155="",L155=""),"",M155/L155)</x:f>
      </x:c>
      <x:c r="P155" s="17" t="str">
        <x:f>IF(OR(M155="",N155=""),"",M155*N155)</x:f>
      </x:c>
      <x:c r="Q155" s="17"/>
      <x:c r="R155" s="17" t="str">
        <x:f>IF(OR(M155="",Q155="",Q155="未结算"),"",SWITCH(Q155,"赢",M155*N155,"输",0,"走水",M155,"取消",M155,"半赢",M155*(1+(N155-1)/2),"半输",M155*0.5,""))</x:f>
      </x:c>
      <x:c r="S155" s="17" t="str">
        <x:f>IF(R155="","",R155-M155)</x:f>
      </x:c>
      <x:c r="T155" s="19" t="str">
        <x:f>IF(OR(M155="",S155=""),"",S155/M155)</x:f>
      </x:c>
      <x:c r="U155" s="17" t="str">
        <x:f>IF(S155="","",'参数'!$B$3+SUM($S$3:S155))</x:f>
      </x:c>
      <x:c r="V155" s="15"/>
      <x:c r="W155" s="15"/>
      <x:c r="X155" s="15"/>
    </x:row>
    <x:row r="156" ht="25.5" customHeight="1">
      <x:c r="A156" s="15" t="str">
        <x:f>IF(D156="","",ROW()-2)</x:f>
      </x:c>
      <x:c r="B156" s="16"/>
      <x:c r="C156" s="15"/>
      <x:c r="D156" s="15"/>
      <x:c r="E156" s="16"/>
      <x:c r="F156" s="15"/>
      <x:c r="G156" s="15"/>
      <x:c r="H156" s="15"/>
      <x:c r="I156" s="15"/>
      <x:c r="J156" s="15"/>
      <x:c r="K156" s="15"/>
      <x:c r="L156" s="17" t="str">
        <x:f>IF(M156="","",'参数'!$B$3+IF(ROW()=3,0,SUM($S$3:INDEX($S:$S,ROW()-1))))</x:f>
      </x:c>
      <x:c r="M156" s="17"/>
      <x:c r="N156" s="18"/>
      <x:c r="O156" s="19" t="str">
        <x:f>IF(OR(M156="",L156=""),"",M156/L156)</x:f>
      </x:c>
      <x:c r="P156" s="17" t="str">
        <x:f>IF(OR(M156="",N156=""),"",M156*N156)</x:f>
      </x:c>
      <x:c r="Q156" s="17"/>
      <x:c r="R156" s="17" t="str">
        <x:f>IF(OR(M156="",Q156="",Q156="未结算"),"",SWITCH(Q156,"赢",M156*N156,"输",0,"走水",M156,"取消",M156,"半赢",M156*(1+(N156-1)/2),"半输",M156*0.5,""))</x:f>
      </x:c>
      <x:c r="S156" s="17" t="str">
        <x:f>IF(R156="","",R156-M156)</x:f>
      </x:c>
      <x:c r="T156" s="19" t="str">
        <x:f>IF(OR(M156="",S156=""),"",S156/M156)</x:f>
      </x:c>
      <x:c r="U156" s="17" t="str">
        <x:f>IF(S156="","",'参数'!$B$3+SUM($S$3:S156))</x:f>
      </x:c>
      <x:c r="V156" s="15"/>
      <x:c r="W156" s="15"/>
      <x:c r="X156" s="15"/>
    </x:row>
    <x:row r="157" ht="25.5" customHeight="1">
      <x:c r="A157" s="15" t="str">
        <x:f>IF(D157="","",ROW()-2)</x:f>
      </x:c>
      <x:c r="B157" s="16"/>
      <x:c r="C157" s="15"/>
      <x:c r="D157" s="15"/>
      <x:c r="E157" s="16"/>
      <x:c r="F157" s="15"/>
      <x:c r="G157" s="15"/>
      <x:c r="H157" s="15"/>
      <x:c r="I157" s="15"/>
      <x:c r="J157" s="15"/>
      <x:c r="K157" s="15"/>
      <x:c r="L157" s="17" t="str">
        <x:f>IF(M157="","",'参数'!$B$3+IF(ROW()=3,0,SUM($S$3:INDEX($S:$S,ROW()-1))))</x:f>
      </x:c>
      <x:c r="M157" s="17"/>
      <x:c r="N157" s="18"/>
      <x:c r="O157" s="19" t="str">
        <x:f>IF(OR(M157="",L157=""),"",M157/L157)</x:f>
      </x:c>
      <x:c r="P157" s="17" t="str">
        <x:f>IF(OR(M157="",N157=""),"",M157*N157)</x:f>
      </x:c>
      <x:c r="Q157" s="17"/>
      <x:c r="R157" s="17" t="str">
        <x:f>IF(OR(M157="",Q157="",Q157="未结算"),"",SWITCH(Q157,"赢",M157*N157,"输",0,"走水",M157,"取消",M157,"半赢",M157*(1+(N157-1)/2),"半输",M157*0.5,""))</x:f>
      </x:c>
      <x:c r="S157" s="17" t="str">
        <x:f>IF(R157="","",R157-M157)</x:f>
      </x:c>
      <x:c r="T157" s="19" t="str">
        <x:f>IF(OR(M157="",S157=""),"",S157/M157)</x:f>
      </x:c>
      <x:c r="U157" s="17" t="str">
        <x:f>IF(S157="","",'参数'!$B$3+SUM($S$3:S157))</x:f>
      </x:c>
      <x:c r="V157" s="15"/>
      <x:c r="W157" s="15"/>
      <x:c r="X157" s="15"/>
    </x:row>
    <x:row r="158" ht="25.5" customHeight="1">
      <x:c r="A158" s="15" t="str">
        <x:f>IF(D158="","",ROW()-2)</x:f>
      </x:c>
      <x:c r="B158" s="16"/>
      <x:c r="C158" s="15"/>
      <x:c r="D158" s="15"/>
      <x:c r="E158" s="16"/>
      <x:c r="F158" s="15"/>
      <x:c r="G158" s="15"/>
      <x:c r="H158" s="15"/>
      <x:c r="I158" s="15"/>
      <x:c r="J158" s="15"/>
      <x:c r="K158" s="15"/>
      <x:c r="L158" s="17" t="str">
        <x:f>IF(M158="","",'参数'!$B$3+IF(ROW()=3,0,SUM($S$3:INDEX($S:$S,ROW()-1))))</x:f>
      </x:c>
      <x:c r="M158" s="17"/>
      <x:c r="N158" s="18"/>
      <x:c r="O158" s="19" t="str">
        <x:f>IF(OR(M158="",L158=""),"",M158/L158)</x:f>
      </x:c>
      <x:c r="P158" s="17" t="str">
        <x:f>IF(OR(M158="",N158=""),"",M158*N158)</x:f>
      </x:c>
      <x:c r="Q158" s="17"/>
      <x:c r="R158" s="17" t="str">
        <x:f>IF(OR(M158="",Q158="",Q158="未结算"),"",SWITCH(Q158,"赢",M158*N158,"输",0,"走水",M158,"取消",M158,"半赢",M158*(1+(N158-1)/2),"半输",M158*0.5,""))</x:f>
      </x:c>
      <x:c r="S158" s="17" t="str">
        <x:f>IF(R158="","",R158-M158)</x:f>
      </x:c>
      <x:c r="T158" s="19" t="str">
        <x:f>IF(OR(M158="",S158=""),"",S158/M158)</x:f>
      </x:c>
      <x:c r="U158" s="17" t="str">
        <x:f>IF(S158="","",'参数'!$B$3+SUM($S$3:S158))</x:f>
      </x:c>
      <x:c r="V158" s="15"/>
      <x:c r="W158" s="15"/>
      <x:c r="X158" s="15"/>
    </x:row>
    <x:row r="159" ht="25.5" customHeight="1">
      <x:c r="A159" s="15" t="str">
        <x:f>IF(D159="","",ROW()-2)</x:f>
      </x:c>
      <x:c r="B159" s="16"/>
      <x:c r="C159" s="15"/>
      <x:c r="D159" s="15"/>
      <x:c r="E159" s="16"/>
      <x:c r="F159" s="15"/>
      <x:c r="G159" s="15"/>
      <x:c r="H159" s="15"/>
      <x:c r="I159" s="15"/>
      <x:c r="J159" s="15"/>
      <x:c r="K159" s="15"/>
      <x:c r="L159" s="17" t="str">
        <x:f>IF(M159="","",'参数'!$B$3+IF(ROW()=3,0,SUM($S$3:INDEX($S:$S,ROW()-1))))</x:f>
      </x:c>
      <x:c r="M159" s="17"/>
      <x:c r="N159" s="18"/>
      <x:c r="O159" s="19" t="str">
        <x:f>IF(OR(M159="",L159=""),"",M159/L159)</x:f>
      </x:c>
      <x:c r="P159" s="17" t="str">
        <x:f>IF(OR(M159="",N159=""),"",M159*N159)</x:f>
      </x:c>
      <x:c r="Q159" s="17"/>
      <x:c r="R159" s="17" t="str">
        <x:f>IF(OR(M159="",Q159="",Q159="未结算"),"",SWITCH(Q159,"赢",M159*N159,"输",0,"走水",M159,"取消",M159,"半赢",M159*(1+(N159-1)/2),"半输",M159*0.5,""))</x:f>
      </x:c>
      <x:c r="S159" s="17" t="str">
        <x:f>IF(R159="","",R159-M159)</x:f>
      </x:c>
      <x:c r="T159" s="19" t="str">
        <x:f>IF(OR(M159="",S159=""),"",S159/M159)</x:f>
      </x:c>
      <x:c r="U159" s="17" t="str">
        <x:f>IF(S159="","",'参数'!$B$3+SUM($S$3:S159))</x:f>
      </x:c>
      <x:c r="V159" s="15"/>
      <x:c r="W159" s="15"/>
      <x:c r="X159" s="15"/>
    </x:row>
    <x:row r="160" ht="25.5" customHeight="1">
      <x:c r="A160" s="15" t="str">
        <x:f>IF(D160="","",ROW()-2)</x:f>
      </x:c>
      <x:c r="B160" s="16"/>
      <x:c r="C160" s="15"/>
      <x:c r="D160" s="15"/>
      <x:c r="E160" s="16"/>
      <x:c r="F160" s="15"/>
      <x:c r="G160" s="15"/>
      <x:c r="H160" s="15"/>
      <x:c r="I160" s="15"/>
      <x:c r="J160" s="15"/>
      <x:c r="K160" s="15"/>
      <x:c r="L160" s="17" t="str">
        <x:f>IF(M160="","",'参数'!$B$3+IF(ROW()=3,0,SUM($S$3:INDEX($S:$S,ROW()-1))))</x:f>
      </x:c>
      <x:c r="M160" s="17"/>
      <x:c r="N160" s="18"/>
      <x:c r="O160" s="19" t="str">
        <x:f>IF(OR(M160="",L160=""),"",M160/L160)</x:f>
      </x:c>
      <x:c r="P160" s="17" t="str">
        <x:f>IF(OR(M160="",N160=""),"",M160*N160)</x:f>
      </x:c>
      <x:c r="Q160" s="17"/>
      <x:c r="R160" s="17" t="str">
        <x:f>IF(OR(M160="",Q160="",Q160="未结算"),"",SWITCH(Q160,"赢",M160*N160,"输",0,"走水",M160,"取消",M160,"半赢",M160*(1+(N160-1)/2),"半输",M160*0.5,""))</x:f>
      </x:c>
      <x:c r="S160" s="17" t="str">
        <x:f>IF(R160="","",R160-M160)</x:f>
      </x:c>
      <x:c r="T160" s="19" t="str">
        <x:f>IF(OR(M160="",S160=""),"",S160/M160)</x:f>
      </x:c>
      <x:c r="U160" s="17" t="str">
        <x:f>IF(S160="","",'参数'!$B$3+SUM($S$3:S160))</x:f>
      </x:c>
      <x:c r="V160" s="15"/>
      <x:c r="W160" s="15"/>
      <x:c r="X160" s="15"/>
    </x:row>
    <x:row r="161" ht="25.5" customHeight="1">
      <x:c r="A161" s="15" t="str">
        <x:f>IF(D161="","",ROW()-2)</x:f>
      </x:c>
      <x:c r="B161" s="16"/>
      <x:c r="C161" s="15"/>
      <x:c r="D161" s="15"/>
      <x:c r="E161" s="16"/>
      <x:c r="F161" s="15"/>
      <x:c r="G161" s="15"/>
      <x:c r="H161" s="15"/>
      <x:c r="I161" s="15"/>
      <x:c r="J161" s="15"/>
      <x:c r="K161" s="15"/>
      <x:c r="L161" s="17" t="str">
        <x:f>IF(M161="","",'参数'!$B$3+IF(ROW()=3,0,SUM($S$3:INDEX($S:$S,ROW()-1))))</x:f>
      </x:c>
      <x:c r="M161" s="17"/>
      <x:c r="N161" s="18"/>
      <x:c r="O161" s="19" t="str">
        <x:f>IF(OR(M161="",L161=""),"",M161/L161)</x:f>
      </x:c>
      <x:c r="P161" s="17" t="str">
        <x:f>IF(OR(M161="",N161=""),"",M161*N161)</x:f>
      </x:c>
      <x:c r="Q161" s="17"/>
      <x:c r="R161" s="17" t="str">
        <x:f>IF(OR(M161="",Q161="",Q161="未结算"),"",SWITCH(Q161,"赢",M161*N161,"输",0,"走水",M161,"取消",M161,"半赢",M161*(1+(N161-1)/2),"半输",M161*0.5,""))</x:f>
      </x:c>
      <x:c r="S161" s="17" t="str">
        <x:f>IF(R161="","",R161-M161)</x:f>
      </x:c>
      <x:c r="T161" s="19" t="str">
        <x:f>IF(OR(M161="",S161=""),"",S161/M161)</x:f>
      </x:c>
      <x:c r="U161" s="17" t="str">
        <x:f>IF(S161="","",'参数'!$B$3+SUM($S$3:S161))</x:f>
      </x:c>
      <x:c r="V161" s="15"/>
      <x:c r="W161" s="15"/>
      <x:c r="X161" s="15"/>
    </x:row>
    <x:row r="162" ht="25.5" customHeight="1">
      <x:c r="A162" s="15" t="str">
        <x:f>IF(D162="","",ROW()-2)</x:f>
      </x:c>
      <x:c r="B162" s="16"/>
      <x:c r="C162" s="15"/>
      <x:c r="D162" s="15"/>
      <x:c r="E162" s="16"/>
      <x:c r="F162" s="15"/>
      <x:c r="G162" s="15"/>
      <x:c r="H162" s="15"/>
      <x:c r="I162" s="15"/>
      <x:c r="J162" s="15"/>
      <x:c r="K162" s="15"/>
      <x:c r="L162" s="17" t="str">
        <x:f>IF(M162="","",'参数'!$B$3+IF(ROW()=3,0,SUM($S$3:INDEX($S:$S,ROW()-1))))</x:f>
      </x:c>
      <x:c r="M162" s="17"/>
      <x:c r="N162" s="18"/>
      <x:c r="O162" s="19" t="str">
        <x:f>IF(OR(M162="",L162=""),"",M162/L162)</x:f>
      </x:c>
      <x:c r="P162" s="17" t="str">
        <x:f>IF(OR(M162="",N162=""),"",M162*N162)</x:f>
      </x:c>
      <x:c r="Q162" s="17"/>
      <x:c r="R162" s="17" t="str">
        <x:f>IF(OR(M162="",Q162="",Q162="未结算"),"",SWITCH(Q162,"赢",M162*N162,"输",0,"走水",M162,"取消",M162,"半赢",M162*(1+(N162-1)/2),"半输",M162*0.5,""))</x:f>
      </x:c>
      <x:c r="S162" s="17" t="str">
        <x:f>IF(R162="","",R162-M162)</x:f>
      </x:c>
      <x:c r="T162" s="19" t="str">
        <x:f>IF(OR(M162="",S162=""),"",S162/M162)</x:f>
      </x:c>
      <x:c r="U162" s="17" t="str">
        <x:f>IF(S162="","",'参数'!$B$3+SUM($S$3:S162))</x:f>
      </x:c>
      <x:c r="V162" s="15"/>
      <x:c r="W162" s="15"/>
      <x:c r="X162" s="15"/>
    </x:row>
    <x:row r="163" ht="25.5" customHeight="1">
      <x:c r="A163" s="15" t="str">
        <x:f>IF(D163="","",ROW()-2)</x:f>
      </x:c>
      <x:c r="B163" s="16"/>
      <x:c r="C163" s="15"/>
      <x:c r="D163" s="15"/>
      <x:c r="E163" s="16"/>
      <x:c r="F163" s="15"/>
      <x:c r="G163" s="15"/>
      <x:c r="H163" s="15"/>
      <x:c r="I163" s="15"/>
      <x:c r="J163" s="15"/>
      <x:c r="K163" s="15"/>
      <x:c r="L163" s="17" t="str">
        <x:f>IF(M163="","",'参数'!$B$3+IF(ROW()=3,0,SUM($S$3:INDEX($S:$S,ROW()-1))))</x:f>
      </x:c>
      <x:c r="M163" s="17"/>
      <x:c r="N163" s="18"/>
      <x:c r="O163" s="19" t="str">
        <x:f>IF(OR(M163="",L163=""),"",M163/L163)</x:f>
      </x:c>
      <x:c r="P163" s="17" t="str">
        <x:f>IF(OR(M163="",N163=""),"",M163*N163)</x:f>
      </x:c>
      <x:c r="Q163" s="17"/>
      <x:c r="R163" s="17" t="str">
        <x:f>IF(OR(M163="",Q163="",Q163="未结算"),"",SWITCH(Q163,"赢",M163*N163,"输",0,"走水",M163,"取消",M163,"半赢",M163*(1+(N163-1)/2),"半输",M163*0.5,""))</x:f>
      </x:c>
      <x:c r="S163" s="17" t="str">
        <x:f>IF(R163="","",R163-M163)</x:f>
      </x:c>
      <x:c r="T163" s="19" t="str">
        <x:f>IF(OR(M163="",S163=""),"",S163/M163)</x:f>
      </x:c>
      <x:c r="U163" s="17" t="str">
        <x:f>IF(S163="","",'参数'!$B$3+SUM($S$3:S163))</x:f>
      </x:c>
      <x:c r="V163" s="15"/>
      <x:c r="W163" s="15"/>
      <x:c r="X163" s="15"/>
    </x:row>
    <x:row r="164" ht="25.5" customHeight="1">
      <x:c r="A164" s="15" t="str">
        <x:f>IF(D164="","",ROW()-2)</x:f>
      </x:c>
      <x:c r="B164" s="16"/>
      <x:c r="C164" s="15"/>
      <x:c r="D164" s="15"/>
      <x:c r="E164" s="16"/>
      <x:c r="F164" s="15"/>
      <x:c r="G164" s="15"/>
      <x:c r="H164" s="15"/>
      <x:c r="I164" s="15"/>
      <x:c r="J164" s="15"/>
      <x:c r="K164" s="15"/>
      <x:c r="L164" s="17" t="str">
        <x:f>IF(M164="","",'参数'!$B$3+IF(ROW()=3,0,SUM($S$3:INDEX($S:$S,ROW()-1))))</x:f>
      </x:c>
      <x:c r="M164" s="17"/>
      <x:c r="N164" s="18"/>
      <x:c r="O164" s="19" t="str">
        <x:f>IF(OR(M164="",L164=""),"",M164/L164)</x:f>
      </x:c>
      <x:c r="P164" s="17" t="str">
        <x:f>IF(OR(M164="",N164=""),"",M164*N164)</x:f>
      </x:c>
      <x:c r="Q164" s="17"/>
      <x:c r="R164" s="17" t="str">
        <x:f>IF(OR(M164="",Q164="",Q164="未结算"),"",SWITCH(Q164,"赢",M164*N164,"输",0,"走水",M164,"取消",M164,"半赢",M164*(1+(N164-1)/2),"半输",M164*0.5,""))</x:f>
      </x:c>
      <x:c r="S164" s="17" t="str">
        <x:f>IF(R164="","",R164-M164)</x:f>
      </x:c>
      <x:c r="T164" s="19" t="str">
        <x:f>IF(OR(M164="",S164=""),"",S164/M164)</x:f>
      </x:c>
      <x:c r="U164" s="17" t="str">
        <x:f>IF(S164="","",'参数'!$B$3+SUM($S$3:S164))</x:f>
      </x:c>
      <x:c r="V164" s="15"/>
      <x:c r="W164" s="15"/>
      <x:c r="X164" s="15"/>
    </x:row>
    <x:row r="165" ht="25.5" customHeight="1">
      <x:c r="A165" s="15" t="str">
        <x:f>IF(D165="","",ROW()-2)</x:f>
      </x:c>
      <x:c r="B165" s="16"/>
      <x:c r="C165" s="15"/>
      <x:c r="D165" s="15"/>
      <x:c r="E165" s="16"/>
      <x:c r="F165" s="15"/>
      <x:c r="G165" s="15"/>
      <x:c r="H165" s="15"/>
      <x:c r="I165" s="15"/>
      <x:c r="J165" s="15"/>
      <x:c r="K165" s="15"/>
      <x:c r="L165" s="17" t="str">
        <x:f>IF(M165="","",'参数'!$B$3+IF(ROW()=3,0,SUM($S$3:INDEX($S:$S,ROW()-1))))</x:f>
      </x:c>
      <x:c r="M165" s="17"/>
      <x:c r="N165" s="18"/>
      <x:c r="O165" s="19" t="str">
        <x:f>IF(OR(M165="",L165=""),"",M165/L165)</x:f>
      </x:c>
      <x:c r="P165" s="17" t="str">
        <x:f>IF(OR(M165="",N165=""),"",M165*N165)</x:f>
      </x:c>
      <x:c r="Q165" s="17"/>
      <x:c r="R165" s="17" t="str">
        <x:f>IF(OR(M165="",Q165="",Q165="未结算"),"",SWITCH(Q165,"赢",M165*N165,"输",0,"走水",M165,"取消",M165,"半赢",M165*(1+(N165-1)/2),"半输",M165*0.5,""))</x:f>
      </x:c>
      <x:c r="S165" s="17" t="str">
        <x:f>IF(R165="","",R165-M165)</x:f>
      </x:c>
      <x:c r="T165" s="19" t="str">
        <x:f>IF(OR(M165="",S165=""),"",S165/M165)</x:f>
      </x:c>
      <x:c r="U165" s="17" t="str">
        <x:f>IF(S165="","",'参数'!$B$3+SUM($S$3:S165))</x:f>
      </x:c>
      <x:c r="V165" s="15"/>
      <x:c r="W165" s="15"/>
      <x:c r="X165" s="15"/>
    </x:row>
    <x:row r="166" ht="25.5" customHeight="1">
      <x:c r="A166" s="15" t="str">
        <x:f>IF(D166="","",ROW()-2)</x:f>
      </x:c>
      <x:c r="B166" s="16"/>
      <x:c r="C166" s="15"/>
      <x:c r="D166" s="15"/>
      <x:c r="E166" s="16"/>
      <x:c r="F166" s="15"/>
      <x:c r="G166" s="15"/>
      <x:c r="H166" s="15"/>
      <x:c r="I166" s="15"/>
      <x:c r="J166" s="15"/>
      <x:c r="K166" s="15"/>
      <x:c r="L166" s="17" t="str">
        <x:f>IF(M166="","",'参数'!$B$3+IF(ROW()=3,0,SUM($S$3:INDEX($S:$S,ROW()-1))))</x:f>
      </x:c>
      <x:c r="M166" s="17"/>
      <x:c r="N166" s="18"/>
      <x:c r="O166" s="19" t="str">
        <x:f>IF(OR(M166="",L166=""),"",M166/L166)</x:f>
      </x:c>
      <x:c r="P166" s="17" t="str">
        <x:f>IF(OR(M166="",N166=""),"",M166*N166)</x:f>
      </x:c>
      <x:c r="Q166" s="17"/>
      <x:c r="R166" s="17" t="str">
        <x:f>IF(OR(M166="",Q166="",Q166="未结算"),"",SWITCH(Q166,"赢",M166*N166,"输",0,"走水",M166,"取消",M166,"半赢",M166*(1+(N166-1)/2),"半输",M166*0.5,""))</x:f>
      </x:c>
      <x:c r="S166" s="17" t="str">
        <x:f>IF(R166="","",R166-M166)</x:f>
      </x:c>
      <x:c r="T166" s="19" t="str">
        <x:f>IF(OR(M166="",S166=""),"",S166/M166)</x:f>
      </x:c>
      <x:c r="U166" s="17" t="str">
        <x:f>IF(S166="","",'参数'!$B$3+SUM($S$3:S166))</x:f>
      </x:c>
      <x:c r="V166" s="15"/>
      <x:c r="W166" s="15"/>
      <x:c r="X166" s="15"/>
    </x:row>
    <x:row r="167" ht="25.5" customHeight="1">
      <x:c r="A167" s="15" t="str">
        <x:f>IF(D167="","",ROW()-2)</x:f>
      </x:c>
      <x:c r="B167" s="16"/>
      <x:c r="C167" s="15"/>
      <x:c r="D167" s="15"/>
      <x:c r="E167" s="16"/>
      <x:c r="F167" s="15"/>
      <x:c r="G167" s="15"/>
      <x:c r="H167" s="15"/>
      <x:c r="I167" s="15"/>
      <x:c r="J167" s="15"/>
      <x:c r="K167" s="15"/>
      <x:c r="L167" s="17" t="str">
        <x:f>IF(M167="","",'参数'!$B$3+IF(ROW()=3,0,SUM($S$3:INDEX($S:$S,ROW()-1))))</x:f>
      </x:c>
      <x:c r="M167" s="17"/>
      <x:c r="N167" s="18"/>
      <x:c r="O167" s="19" t="str">
        <x:f>IF(OR(M167="",L167=""),"",M167/L167)</x:f>
      </x:c>
      <x:c r="P167" s="17" t="str">
        <x:f>IF(OR(M167="",N167=""),"",M167*N167)</x:f>
      </x:c>
      <x:c r="Q167" s="17"/>
      <x:c r="R167" s="17" t="str">
        <x:f>IF(OR(M167="",Q167="",Q167="未结算"),"",SWITCH(Q167,"赢",M167*N167,"输",0,"走水",M167,"取消",M167,"半赢",M167*(1+(N167-1)/2),"半输",M167*0.5,""))</x:f>
      </x:c>
      <x:c r="S167" s="17" t="str">
        <x:f>IF(R167="","",R167-M167)</x:f>
      </x:c>
      <x:c r="T167" s="19" t="str">
        <x:f>IF(OR(M167="",S167=""),"",S167/M167)</x:f>
      </x:c>
      <x:c r="U167" s="17" t="str">
        <x:f>IF(S167="","",'参数'!$B$3+SUM($S$3:S167))</x:f>
      </x:c>
      <x:c r="V167" s="15"/>
      <x:c r="W167" s="15"/>
      <x:c r="X167" s="15"/>
    </x:row>
    <x:row r="168" ht="25.5" customHeight="1">
      <x:c r="A168" s="15" t="str">
        <x:f>IF(D168="","",ROW()-2)</x:f>
      </x:c>
      <x:c r="B168" s="16"/>
      <x:c r="C168" s="15"/>
      <x:c r="D168" s="15"/>
      <x:c r="E168" s="16"/>
      <x:c r="F168" s="15"/>
      <x:c r="G168" s="15"/>
      <x:c r="H168" s="15"/>
      <x:c r="I168" s="15"/>
      <x:c r="J168" s="15"/>
      <x:c r="K168" s="15"/>
      <x:c r="L168" s="17" t="str">
        <x:f>IF(M168="","",'参数'!$B$3+IF(ROW()=3,0,SUM($S$3:INDEX($S:$S,ROW()-1))))</x:f>
      </x:c>
      <x:c r="M168" s="17"/>
      <x:c r="N168" s="18"/>
      <x:c r="O168" s="19" t="str">
        <x:f>IF(OR(M168="",L168=""),"",M168/L168)</x:f>
      </x:c>
      <x:c r="P168" s="17" t="str">
        <x:f>IF(OR(M168="",N168=""),"",M168*N168)</x:f>
      </x:c>
      <x:c r="Q168" s="17"/>
      <x:c r="R168" s="17" t="str">
        <x:f>IF(OR(M168="",Q168="",Q168="未结算"),"",SWITCH(Q168,"赢",M168*N168,"输",0,"走水",M168,"取消",M168,"半赢",M168*(1+(N168-1)/2),"半输",M168*0.5,""))</x:f>
      </x:c>
      <x:c r="S168" s="17" t="str">
        <x:f>IF(R168="","",R168-M168)</x:f>
      </x:c>
      <x:c r="T168" s="19" t="str">
        <x:f>IF(OR(M168="",S168=""),"",S168/M168)</x:f>
      </x:c>
      <x:c r="U168" s="17" t="str">
        <x:f>IF(S168="","",'参数'!$B$3+SUM($S$3:S168))</x:f>
      </x:c>
      <x:c r="V168" s="15"/>
      <x:c r="W168" s="15"/>
      <x:c r="X168" s="15"/>
    </x:row>
    <x:row r="169" ht="25.5" customHeight="1">
      <x:c r="A169" s="15" t="str">
        <x:f>IF(D169="","",ROW()-2)</x:f>
      </x:c>
      <x:c r="B169" s="16"/>
      <x:c r="C169" s="15"/>
      <x:c r="D169" s="15"/>
      <x:c r="E169" s="16"/>
      <x:c r="F169" s="15"/>
      <x:c r="G169" s="15"/>
      <x:c r="H169" s="15"/>
      <x:c r="I169" s="15"/>
      <x:c r="J169" s="15"/>
      <x:c r="K169" s="15"/>
      <x:c r="L169" s="17" t="str">
        <x:f>IF(M169="","",'参数'!$B$3+IF(ROW()=3,0,SUM($S$3:INDEX($S:$S,ROW()-1))))</x:f>
      </x:c>
      <x:c r="M169" s="17"/>
      <x:c r="N169" s="18"/>
      <x:c r="O169" s="19" t="str">
        <x:f>IF(OR(M169="",L169=""),"",M169/L169)</x:f>
      </x:c>
      <x:c r="P169" s="17" t="str">
        <x:f>IF(OR(M169="",N169=""),"",M169*N169)</x:f>
      </x:c>
      <x:c r="Q169" s="17"/>
      <x:c r="R169" s="17" t="str">
        <x:f>IF(OR(M169="",Q169="",Q169="未结算"),"",SWITCH(Q169,"赢",M169*N169,"输",0,"走水",M169,"取消",M169,"半赢",M169*(1+(N169-1)/2),"半输",M169*0.5,""))</x:f>
      </x:c>
      <x:c r="S169" s="17" t="str">
        <x:f>IF(R169="","",R169-M169)</x:f>
      </x:c>
      <x:c r="T169" s="19" t="str">
        <x:f>IF(OR(M169="",S169=""),"",S169/M169)</x:f>
      </x:c>
      <x:c r="U169" s="17" t="str">
        <x:f>IF(S169="","",'参数'!$B$3+SUM($S$3:S169))</x:f>
      </x:c>
      <x:c r="V169" s="15"/>
      <x:c r="W169" s="15"/>
      <x:c r="X169" s="15"/>
    </x:row>
    <x:row r="170" ht="25.5" customHeight="1">
      <x:c r="A170" s="15" t="str">
        <x:f>IF(D170="","",ROW()-2)</x:f>
      </x:c>
      <x:c r="B170" s="16"/>
      <x:c r="C170" s="15"/>
      <x:c r="D170" s="15"/>
      <x:c r="E170" s="16"/>
      <x:c r="F170" s="15"/>
      <x:c r="G170" s="15"/>
      <x:c r="H170" s="15"/>
      <x:c r="I170" s="15"/>
      <x:c r="J170" s="15"/>
      <x:c r="K170" s="15"/>
      <x:c r="L170" s="17" t="str">
        <x:f>IF(M170="","",'参数'!$B$3+IF(ROW()=3,0,SUM($S$3:INDEX($S:$S,ROW()-1))))</x:f>
      </x:c>
      <x:c r="M170" s="17"/>
      <x:c r="N170" s="18"/>
      <x:c r="O170" s="19" t="str">
        <x:f>IF(OR(M170="",L170=""),"",M170/L170)</x:f>
      </x:c>
      <x:c r="P170" s="17" t="str">
        <x:f>IF(OR(M170="",N170=""),"",M170*N170)</x:f>
      </x:c>
      <x:c r="Q170" s="17"/>
      <x:c r="R170" s="17" t="str">
        <x:f>IF(OR(M170="",Q170="",Q170="未结算"),"",SWITCH(Q170,"赢",M170*N170,"输",0,"走水",M170,"取消",M170,"半赢",M170*(1+(N170-1)/2),"半输",M170*0.5,""))</x:f>
      </x:c>
      <x:c r="S170" s="17" t="str">
        <x:f>IF(R170="","",R170-M170)</x:f>
      </x:c>
      <x:c r="T170" s="19" t="str">
        <x:f>IF(OR(M170="",S170=""),"",S170/M170)</x:f>
      </x:c>
      <x:c r="U170" s="17" t="str">
        <x:f>IF(S170="","",'参数'!$B$3+SUM($S$3:S170))</x:f>
      </x:c>
      <x:c r="V170" s="15"/>
      <x:c r="W170" s="15"/>
      <x:c r="X170" s="15"/>
    </x:row>
    <x:row r="171" ht="25.5" customHeight="1">
      <x:c r="A171" s="15" t="str">
        <x:f>IF(D171="","",ROW()-2)</x:f>
      </x:c>
      <x:c r="B171" s="16"/>
      <x:c r="C171" s="15"/>
      <x:c r="D171" s="15"/>
      <x:c r="E171" s="16"/>
      <x:c r="F171" s="15"/>
      <x:c r="G171" s="15"/>
      <x:c r="H171" s="15"/>
      <x:c r="I171" s="15"/>
      <x:c r="J171" s="15"/>
      <x:c r="K171" s="15"/>
      <x:c r="L171" s="17" t="str">
        <x:f>IF(M171="","",'参数'!$B$3+IF(ROW()=3,0,SUM($S$3:INDEX($S:$S,ROW()-1))))</x:f>
      </x:c>
      <x:c r="M171" s="17"/>
      <x:c r="N171" s="18"/>
      <x:c r="O171" s="19" t="str">
        <x:f>IF(OR(M171="",L171=""),"",M171/L171)</x:f>
      </x:c>
      <x:c r="P171" s="17" t="str">
        <x:f>IF(OR(M171="",N171=""),"",M171*N171)</x:f>
      </x:c>
      <x:c r="Q171" s="17"/>
      <x:c r="R171" s="17" t="str">
        <x:f>IF(OR(M171="",Q171="",Q171="未结算"),"",SWITCH(Q171,"赢",M171*N171,"输",0,"走水",M171,"取消",M171,"半赢",M171*(1+(N171-1)/2),"半输",M171*0.5,""))</x:f>
      </x:c>
      <x:c r="S171" s="17" t="str">
        <x:f>IF(R171="","",R171-M171)</x:f>
      </x:c>
      <x:c r="T171" s="19" t="str">
        <x:f>IF(OR(M171="",S171=""),"",S171/M171)</x:f>
      </x:c>
      <x:c r="U171" s="17" t="str">
        <x:f>IF(S171="","",'参数'!$B$3+SUM($S$3:S171))</x:f>
      </x:c>
      <x:c r="V171" s="15"/>
      <x:c r="W171" s="15"/>
      <x:c r="X171" s="15"/>
    </x:row>
    <x:row r="172" ht="25.5" customHeight="1">
      <x:c r="A172" s="15" t="str">
        <x:f>IF(D172="","",ROW()-2)</x:f>
      </x:c>
      <x:c r="B172" s="16"/>
      <x:c r="C172" s="15"/>
      <x:c r="D172" s="15"/>
      <x:c r="E172" s="16"/>
      <x:c r="F172" s="15"/>
      <x:c r="G172" s="15"/>
      <x:c r="H172" s="15"/>
      <x:c r="I172" s="15"/>
      <x:c r="J172" s="15"/>
      <x:c r="K172" s="15"/>
      <x:c r="L172" s="17" t="str">
        <x:f>IF(M172="","",'参数'!$B$3+IF(ROW()=3,0,SUM($S$3:INDEX($S:$S,ROW()-1))))</x:f>
      </x:c>
      <x:c r="M172" s="17"/>
      <x:c r="N172" s="18"/>
      <x:c r="O172" s="19" t="str">
        <x:f>IF(OR(M172="",L172=""),"",M172/L172)</x:f>
      </x:c>
      <x:c r="P172" s="17" t="str">
        <x:f>IF(OR(M172="",N172=""),"",M172*N172)</x:f>
      </x:c>
      <x:c r="Q172" s="17"/>
      <x:c r="R172" s="17" t="str">
        <x:f>IF(OR(M172="",Q172="",Q172="未结算"),"",SWITCH(Q172,"赢",M172*N172,"输",0,"走水",M172,"取消",M172,"半赢",M172*(1+(N172-1)/2),"半输",M172*0.5,""))</x:f>
      </x:c>
      <x:c r="S172" s="17" t="str">
        <x:f>IF(R172="","",R172-M172)</x:f>
      </x:c>
      <x:c r="T172" s="19" t="str">
        <x:f>IF(OR(M172="",S172=""),"",S172/M172)</x:f>
      </x:c>
      <x:c r="U172" s="17" t="str">
        <x:f>IF(S172="","",'参数'!$B$3+SUM($S$3:S172))</x:f>
      </x:c>
      <x:c r="V172" s="15"/>
      <x:c r="W172" s="15"/>
      <x:c r="X172" s="15"/>
    </x:row>
    <x:row r="173" ht="25.5" customHeight="1">
      <x:c r="A173" s="15" t="str">
        <x:f>IF(D173="","",ROW()-2)</x:f>
      </x:c>
      <x:c r="B173" s="16"/>
      <x:c r="C173" s="15"/>
      <x:c r="D173" s="15"/>
      <x:c r="E173" s="16"/>
      <x:c r="F173" s="15"/>
      <x:c r="G173" s="15"/>
      <x:c r="H173" s="15"/>
      <x:c r="I173" s="15"/>
      <x:c r="J173" s="15"/>
      <x:c r="K173" s="15"/>
      <x:c r="L173" s="17" t="str">
        <x:f>IF(M173="","",'参数'!$B$3+IF(ROW()=3,0,SUM($S$3:INDEX($S:$S,ROW()-1))))</x:f>
      </x:c>
      <x:c r="M173" s="17"/>
      <x:c r="N173" s="18"/>
      <x:c r="O173" s="19" t="str">
        <x:f>IF(OR(M173="",L173=""),"",M173/L173)</x:f>
      </x:c>
      <x:c r="P173" s="17" t="str">
        <x:f>IF(OR(M173="",N173=""),"",M173*N173)</x:f>
      </x:c>
      <x:c r="Q173" s="17"/>
      <x:c r="R173" s="17" t="str">
        <x:f>IF(OR(M173="",Q173="",Q173="未结算"),"",SWITCH(Q173,"赢",M173*N173,"输",0,"走水",M173,"取消",M173,"半赢",M173*(1+(N173-1)/2),"半输",M173*0.5,""))</x:f>
      </x:c>
      <x:c r="S173" s="17" t="str">
        <x:f>IF(R173="","",R173-M173)</x:f>
      </x:c>
      <x:c r="T173" s="19" t="str">
        <x:f>IF(OR(M173="",S173=""),"",S173/M173)</x:f>
      </x:c>
      <x:c r="U173" s="17" t="str">
        <x:f>IF(S173="","",'参数'!$B$3+SUM($S$3:S173))</x:f>
      </x:c>
      <x:c r="V173" s="15"/>
      <x:c r="W173" s="15"/>
      <x:c r="X173" s="15"/>
    </x:row>
    <x:row r="174" ht="25.5" customHeight="1">
      <x:c r="A174" s="15" t="str">
        <x:f>IF(D174="","",ROW()-2)</x:f>
      </x:c>
      <x:c r="B174" s="16"/>
      <x:c r="C174" s="15"/>
      <x:c r="D174" s="15"/>
      <x:c r="E174" s="16"/>
      <x:c r="F174" s="15"/>
      <x:c r="G174" s="15"/>
      <x:c r="H174" s="15"/>
      <x:c r="I174" s="15"/>
      <x:c r="J174" s="15"/>
      <x:c r="K174" s="15"/>
      <x:c r="L174" s="17" t="str">
        <x:f>IF(M174="","",'参数'!$B$3+IF(ROW()=3,0,SUM($S$3:INDEX($S:$S,ROW()-1))))</x:f>
      </x:c>
      <x:c r="M174" s="17"/>
      <x:c r="N174" s="18"/>
      <x:c r="O174" s="19" t="str">
        <x:f>IF(OR(M174="",L174=""),"",M174/L174)</x:f>
      </x:c>
      <x:c r="P174" s="17" t="str">
        <x:f>IF(OR(M174="",N174=""),"",M174*N174)</x:f>
      </x:c>
      <x:c r="Q174" s="17"/>
      <x:c r="R174" s="17" t="str">
        <x:f>IF(OR(M174="",Q174="",Q174="未结算"),"",SWITCH(Q174,"赢",M174*N174,"输",0,"走水",M174,"取消",M174,"半赢",M174*(1+(N174-1)/2),"半输",M174*0.5,""))</x:f>
      </x:c>
      <x:c r="S174" s="17" t="str">
        <x:f>IF(R174="","",R174-M174)</x:f>
      </x:c>
      <x:c r="T174" s="19" t="str">
        <x:f>IF(OR(M174="",S174=""),"",S174/M174)</x:f>
      </x:c>
      <x:c r="U174" s="17" t="str">
        <x:f>IF(S174="","",'参数'!$B$3+SUM($S$3:S174))</x:f>
      </x:c>
      <x:c r="V174" s="15"/>
      <x:c r="W174" s="15"/>
      <x:c r="X174" s="15"/>
    </x:row>
    <x:row r="175" ht="25.5" customHeight="1">
      <x:c r="A175" s="15" t="str">
        <x:f>IF(D175="","",ROW()-2)</x:f>
      </x:c>
      <x:c r="B175" s="16"/>
      <x:c r="C175" s="15"/>
      <x:c r="D175" s="15"/>
      <x:c r="E175" s="16"/>
      <x:c r="F175" s="15"/>
      <x:c r="G175" s="15"/>
      <x:c r="H175" s="15"/>
      <x:c r="I175" s="15"/>
      <x:c r="J175" s="15"/>
      <x:c r="K175" s="15"/>
      <x:c r="L175" s="17" t="str">
        <x:f>IF(M175="","",'参数'!$B$3+IF(ROW()=3,0,SUM($S$3:INDEX($S:$S,ROW()-1))))</x:f>
      </x:c>
      <x:c r="M175" s="17"/>
      <x:c r="N175" s="18"/>
      <x:c r="O175" s="19" t="str">
        <x:f>IF(OR(M175="",L175=""),"",M175/L175)</x:f>
      </x:c>
      <x:c r="P175" s="17" t="str">
        <x:f>IF(OR(M175="",N175=""),"",M175*N175)</x:f>
      </x:c>
      <x:c r="Q175" s="17"/>
      <x:c r="R175" s="17" t="str">
        <x:f>IF(OR(M175="",Q175="",Q175="未结算"),"",SWITCH(Q175,"赢",M175*N175,"输",0,"走水",M175,"取消",M175,"半赢",M175*(1+(N175-1)/2),"半输",M175*0.5,""))</x:f>
      </x:c>
      <x:c r="S175" s="17" t="str">
        <x:f>IF(R175="","",R175-M175)</x:f>
      </x:c>
      <x:c r="T175" s="19" t="str">
        <x:f>IF(OR(M175="",S175=""),"",S175/M175)</x:f>
      </x:c>
      <x:c r="U175" s="17" t="str">
        <x:f>IF(S175="","",'参数'!$B$3+SUM($S$3:S175))</x:f>
      </x:c>
      <x:c r="V175" s="15"/>
      <x:c r="W175" s="15"/>
      <x:c r="X175" s="15"/>
    </x:row>
    <x:row r="176" ht="25.5" customHeight="1">
      <x:c r="A176" s="15" t="str">
        <x:f>IF(D176="","",ROW()-2)</x:f>
      </x:c>
      <x:c r="B176" s="16"/>
      <x:c r="C176" s="15"/>
      <x:c r="D176" s="15"/>
      <x:c r="E176" s="16"/>
      <x:c r="F176" s="15"/>
      <x:c r="G176" s="15"/>
      <x:c r="H176" s="15"/>
      <x:c r="I176" s="15"/>
      <x:c r="J176" s="15"/>
      <x:c r="K176" s="15"/>
      <x:c r="L176" s="17" t="str">
        <x:f>IF(M176="","",'参数'!$B$3+IF(ROW()=3,0,SUM($S$3:INDEX($S:$S,ROW()-1))))</x:f>
      </x:c>
      <x:c r="M176" s="17"/>
      <x:c r="N176" s="18"/>
      <x:c r="O176" s="19" t="str">
        <x:f>IF(OR(M176="",L176=""),"",M176/L176)</x:f>
      </x:c>
      <x:c r="P176" s="17" t="str">
        <x:f>IF(OR(M176="",N176=""),"",M176*N176)</x:f>
      </x:c>
      <x:c r="Q176" s="17"/>
      <x:c r="R176" s="17" t="str">
        <x:f>IF(OR(M176="",Q176="",Q176="未结算"),"",SWITCH(Q176,"赢",M176*N176,"输",0,"走水",M176,"取消",M176,"半赢",M176*(1+(N176-1)/2),"半输",M176*0.5,""))</x:f>
      </x:c>
      <x:c r="S176" s="17" t="str">
        <x:f>IF(R176="","",R176-M176)</x:f>
      </x:c>
      <x:c r="T176" s="19" t="str">
        <x:f>IF(OR(M176="",S176=""),"",S176/M176)</x:f>
      </x:c>
      <x:c r="U176" s="17" t="str">
        <x:f>IF(S176="","",'参数'!$B$3+SUM($S$3:S176))</x:f>
      </x:c>
      <x:c r="V176" s="15"/>
      <x:c r="W176" s="15"/>
      <x:c r="X176" s="15"/>
    </x:row>
    <x:row r="177" ht="25.5" customHeight="1">
      <x:c r="A177" s="15" t="str">
        <x:f>IF(D177="","",ROW()-2)</x:f>
      </x:c>
      <x:c r="B177" s="16"/>
      <x:c r="C177" s="15"/>
      <x:c r="D177" s="15"/>
      <x:c r="E177" s="16"/>
      <x:c r="F177" s="15"/>
      <x:c r="G177" s="15"/>
      <x:c r="H177" s="15"/>
      <x:c r="I177" s="15"/>
      <x:c r="J177" s="15"/>
      <x:c r="K177" s="15"/>
      <x:c r="L177" s="17" t="str">
        <x:f>IF(M177="","",'参数'!$B$3+IF(ROW()=3,0,SUM($S$3:INDEX($S:$S,ROW()-1))))</x:f>
      </x:c>
      <x:c r="M177" s="17"/>
      <x:c r="N177" s="18"/>
      <x:c r="O177" s="19" t="str">
        <x:f>IF(OR(M177="",L177=""),"",M177/L177)</x:f>
      </x:c>
      <x:c r="P177" s="17" t="str">
        <x:f>IF(OR(M177="",N177=""),"",M177*N177)</x:f>
      </x:c>
      <x:c r="Q177" s="17"/>
      <x:c r="R177" s="17" t="str">
        <x:f>IF(OR(M177="",Q177="",Q177="未结算"),"",SWITCH(Q177,"赢",M177*N177,"输",0,"走水",M177,"取消",M177,"半赢",M177*(1+(N177-1)/2),"半输",M177*0.5,""))</x:f>
      </x:c>
      <x:c r="S177" s="17" t="str">
        <x:f>IF(R177="","",R177-M177)</x:f>
      </x:c>
      <x:c r="T177" s="19" t="str">
        <x:f>IF(OR(M177="",S177=""),"",S177/M177)</x:f>
      </x:c>
      <x:c r="U177" s="17" t="str">
        <x:f>IF(S177="","",'参数'!$B$3+SUM($S$3:S177))</x:f>
      </x:c>
      <x:c r="V177" s="15"/>
      <x:c r="W177" s="15"/>
      <x:c r="X177" s="15"/>
    </x:row>
    <x:row r="178" ht="25.5" customHeight="1">
      <x:c r="A178" s="15" t="str">
        <x:f>IF(D178="","",ROW()-2)</x:f>
      </x:c>
      <x:c r="B178" s="16"/>
      <x:c r="C178" s="15"/>
      <x:c r="D178" s="15"/>
      <x:c r="E178" s="16"/>
      <x:c r="F178" s="15"/>
      <x:c r="G178" s="15"/>
      <x:c r="H178" s="15"/>
      <x:c r="I178" s="15"/>
      <x:c r="J178" s="15"/>
      <x:c r="K178" s="15"/>
      <x:c r="L178" s="17" t="str">
        <x:f>IF(M178="","",'参数'!$B$3+IF(ROW()=3,0,SUM($S$3:INDEX($S:$S,ROW()-1))))</x:f>
      </x:c>
      <x:c r="M178" s="17"/>
      <x:c r="N178" s="18"/>
      <x:c r="O178" s="19" t="str">
        <x:f>IF(OR(M178="",L178=""),"",M178/L178)</x:f>
      </x:c>
      <x:c r="P178" s="17" t="str">
        <x:f>IF(OR(M178="",N178=""),"",M178*N178)</x:f>
      </x:c>
      <x:c r="Q178" s="17"/>
      <x:c r="R178" s="17" t="str">
        <x:f>IF(OR(M178="",Q178="",Q178="未结算"),"",SWITCH(Q178,"赢",M178*N178,"输",0,"走水",M178,"取消",M178,"半赢",M178*(1+(N178-1)/2),"半输",M178*0.5,""))</x:f>
      </x:c>
      <x:c r="S178" s="17" t="str">
        <x:f>IF(R178="","",R178-M178)</x:f>
      </x:c>
      <x:c r="T178" s="19" t="str">
        <x:f>IF(OR(M178="",S178=""),"",S178/M178)</x:f>
      </x:c>
      <x:c r="U178" s="17" t="str">
        <x:f>IF(S178="","",'参数'!$B$3+SUM($S$3:S178))</x:f>
      </x:c>
      <x:c r="V178" s="15"/>
      <x:c r="W178" s="15"/>
      <x:c r="X178" s="15"/>
    </x:row>
    <x:row r="179" ht="25.5" customHeight="1">
      <x:c r="A179" s="15" t="str">
        <x:f>IF(D179="","",ROW()-2)</x:f>
      </x:c>
      <x:c r="B179" s="16"/>
      <x:c r="C179" s="15"/>
      <x:c r="D179" s="15"/>
      <x:c r="E179" s="16"/>
      <x:c r="F179" s="15"/>
      <x:c r="G179" s="15"/>
      <x:c r="H179" s="15"/>
      <x:c r="I179" s="15"/>
      <x:c r="J179" s="15"/>
      <x:c r="K179" s="15"/>
      <x:c r="L179" s="17" t="str">
        <x:f>IF(M179="","",'参数'!$B$3+IF(ROW()=3,0,SUM($S$3:INDEX($S:$S,ROW()-1))))</x:f>
      </x:c>
      <x:c r="M179" s="17"/>
      <x:c r="N179" s="18"/>
      <x:c r="O179" s="19" t="str">
        <x:f>IF(OR(M179="",L179=""),"",M179/L179)</x:f>
      </x:c>
      <x:c r="P179" s="17" t="str">
        <x:f>IF(OR(M179="",N179=""),"",M179*N179)</x:f>
      </x:c>
      <x:c r="Q179" s="17"/>
      <x:c r="R179" s="17" t="str">
        <x:f>IF(OR(M179="",Q179="",Q179="未结算"),"",SWITCH(Q179,"赢",M179*N179,"输",0,"走水",M179,"取消",M179,"半赢",M179*(1+(N179-1)/2),"半输",M179*0.5,""))</x:f>
      </x:c>
      <x:c r="S179" s="17" t="str">
        <x:f>IF(R179="","",R179-M179)</x:f>
      </x:c>
      <x:c r="T179" s="19" t="str">
        <x:f>IF(OR(M179="",S179=""),"",S179/M179)</x:f>
      </x:c>
      <x:c r="U179" s="17" t="str">
        <x:f>IF(S179="","",'参数'!$B$3+SUM($S$3:S179))</x:f>
      </x:c>
      <x:c r="V179" s="15"/>
      <x:c r="W179" s="15"/>
      <x:c r="X179" s="15"/>
    </x:row>
    <x:row r="180" ht="25.5" customHeight="1">
      <x:c r="A180" s="15" t="str">
        <x:f>IF(D180="","",ROW()-2)</x:f>
      </x:c>
      <x:c r="B180" s="16"/>
      <x:c r="C180" s="15"/>
      <x:c r="D180" s="15"/>
      <x:c r="E180" s="16"/>
      <x:c r="F180" s="15"/>
      <x:c r="G180" s="15"/>
      <x:c r="H180" s="15"/>
      <x:c r="I180" s="15"/>
      <x:c r="J180" s="15"/>
      <x:c r="K180" s="15"/>
      <x:c r="L180" s="17" t="str">
        <x:f>IF(M180="","",'参数'!$B$3+IF(ROW()=3,0,SUM($S$3:INDEX($S:$S,ROW()-1))))</x:f>
      </x:c>
      <x:c r="M180" s="17"/>
      <x:c r="N180" s="18"/>
      <x:c r="O180" s="19" t="str">
        <x:f>IF(OR(M180="",L180=""),"",M180/L180)</x:f>
      </x:c>
      <x:c r="P180" s="17" t="str">
        <x:f>IF(OR(M180="",N180=""),"",M180*N180)</x:f>
      </x:c>
      <x:c r="Q180" s="17"/>
      <x:c r="R180" s="17" t="str">
        <x:f>IF(OR(M180="",Q180="",Q180="未结算"),"",SWITCH(Q180,"赢",M180*N180,"输",0,"走水",M180,"取消",M180,"半赢",M180*(1+(N180-1)/2),"半输",M180*0.5,""))</x:f>
      </x:c>
      <x:c r="S180" s="17" t="str">
        <x:f>IF(R180="","",R180-M180)</x:f>
      </x:c>
      <x:c r="T180" s="19" t="str">
        <x:f>IF(OR(M180="",S180=""),"",S180/M180)</x:f>
      </x:c>
      <x:c r="U180" s="17" t="str">
        <x:f>IF(S180="","",'参数'!$B$3+SUM($S$3:S180))</x:f>
      </x:c>
      <x:c r="V180" s="15"/>
      <x:c r="W180" s="15"/>
      <x:c r="X180" s="15"/>
    </x:row>
    <x:row r="181" ht="25.5" customHeight="1">
      <x:c r="A181" s="15" t="str">
        <x:f>IF(D181="","",ROW()-2)</x:f>
      </x:c>
      <x:c r="B181" s="16"/>
      <x:c r="C181" s="15"/>
      <x:c r="D181" s="15"/>
      <x:c r="E181" s="16"/>
      <x:c r="F181" s="15"/>
      <x:c r="G181" s="15"/>
      <x:c r="H181" s="15"/>
      <x:c r="I181" s="15"/>
      <x:c r="J181" s="15"/>
      <x:c r="K181" s="15"/>
      <x:c r="L181" s="17" t="str">
        <x:f>IF(M181="","",'参数'!$B$3+IF(ROW()=3,0,SUM($S$3:INDEX($S:$S,ROW()-1))))</x:f>
      </x:c>
      <x:c r="M181" s="17"/>
      <x:c r="N181" s="18"/>
      <x:c r="O181" s="19" t="str">
        <x:f>IF(OR(M181="",L181=""),"",M181/L181)</x:f>
      </x:c>
      <x:c r="P181" s="17" t="str">
        <x:f>IF(OR(M181="",N181=""),"",M181*N181)</x:f>
      </x:c>
      <x:c r="Q181" s="17"/>
      <x:c r="R181" s="17" t="str">
        <x:f>IF(OR(M181="",Q181="",Q181="未结算"),"",SWITCH(Q181,"赢",M181*N181,"输",0,"走水",M181,"取消",M181,"半赢",M181*(1+(N181-1)/2),"半输",M181*0.5,""))</x:f>
      </x:c>
      <x:c r="S181" s="17" t="str">
        <x:f>IF(R181="","",R181-M181)</x:f>
      </x:c>
      <x:c r="T181" s="19" t="str">
        <x:f>IF(OR(M181="",S181=""),"",S181/M181)</x:f>
      </x:c>
      <x:c r="U181" s="17" t="str">
        <x:f>IF(S181="","",'参数'!$B$3+SUM($S$3:S181))</x:f>
      </x:c>
      <x:c r="V181" s="15"/>
      <x:c r="W181" s="15"/>
      <x:c r="X181" s="15"/>
    </x:row>
    <x:row r="182" ht="25.5" customHeight="1">
      <x:c r="A182" s="15" t="str">
        <x:f>IF(D182="","",ROW()-2)</x:f>
      </x:c>
      <x:c r="B182" s="16"/>
      <x:c r="C182" s="15"/>
      <x:c r="D182" s="15"/>
      <x:c r="E182" s="16"/>
      <x:c r="F182" s="15"/>
      <x:c r="G182" s="15"/>
      <x:c r="H182" s="15"/>
      <x:c r="I182" s="15"/>
      <x:c r="J182" s="15"/>
      <x:c r="K182" s="15"/>
      <x:c r="L182" s="17" t="str">
        <x:f>IF(M182="","",'参数'!$B$3+IF(ROW()=3,0,SUM($S$3:INDEX($S:$S,ROW()-1))))</x:f>
      </x:c>
      <x:c r="M182" s="17"/>
      <x:c r="N182" s="18"/>
      <x:c r="O182" s="19" t="str">
        <x:f>IF(OR(M182="",L182=""),"",M182/L182)</x:f>
      </x:c>
      <x:c r="P182" s="17" t="str">
        <x:f>IF(OR(M182="",N182=""),"",M182*N182)</x:f>
      </x:c>
      <x:c r="Q182" s="17"/>
      <x:c r="R182" s="17" t="str">
        <x:f>IF(OR(M182="",Q182="",Q182="未结算"),"",SWITCH(Q182,"赢",M182*N182,"输",0,"走水",M182,"取消",M182,"半赢",M182*(1+(N182-1)/2),"半输",M182*0.5,""))</x:f>
      </x:c>
      <x:c r="S182" s="17" t="str">
        <x:f>IF(R182="","",R182-M182)</x:f>
      </x:c>
      <x:c r="T182" s="19" t="str">
        <x:f>IF(OR(M182="",S182=""),"",S182/M182)</x:f>
      </x:c>
      <x:c r="U182" s="17" t="str">
        <x:f>IF(S182="","",'参数'!$B$3+SUM($S$3:S182))</x:f>
      </x:c>
      <x:c r="V182" s="15"/>
      <x:c r="W182" s="15"/>
      <x:c r="X182" s="15"/>
    </x:row>
    <x:row r="183" ht="25.5" customHeight="1">
      <x:c r="A183" s="15" t="str">
        <x:f>IF(D183="","",ROW()-2)</x:f>
      </x:c>
      <x:c r="B183" s="16"/>
      <x:c r="C183" s="15"/>
      <x:c r="D183" s="15"/>
      <x:c r="E183" s="16"/>
      <x:c r="F183" s="15"/>
      <x:c r="G183" s="15"/>
      <x:c r="H183" s="15"/>
      <x:c r="I183" s="15"/>
      <x:c r="J183" s="15"/>
      <x:c r="K183" s="15"/>
      <x:c r="L183" s="17" t="str">
        <x:f>IF(M183="","",'参数'!$B$3+IF(ROW()=3,0,SUM($S$3:INDEX($S:$S,ROW()-1))))</x:f>
      </x:c>
      <x:c r="M183" s="17"/>
      <x:c r="N183" s="18"/>
      <x:c r="O183" s="19" t="str">
        <x:f>IF(OR(M183="",L183=""),"",M183/L183)</x:f>
      </x:c>
      <x:c r="P183" s="17" t="str">
        <x:f>IF(OR(M183="",N183=""),"",M183*N183)</x:f>
      </x:c>
      <x:c r="Q183" s="17"/>
      <x:c r="R183" s="17" t="str">
        <x:f>IF(OR(M183="",Q183="",Q183="未结算"),"",SWITCH(Q183,"赢",M183*N183,"输",0,"走水",M183,"取消",M183,"半赢",M183*(1+(N183-1)/2),"半输",M183*0.5,""))</x:f>
      </x:c>
      <x:c r="S183" s="17" t="str">
        <x:f>IF(R183="","",R183-M183)</x:f>
      </x:c>
      <x:c r="T183" s="19" t="str">
        <x:f>IF(OR(M183="",S183=""),"",S183/M183)</x:f>
      </x:c>
      <x:c r="U183" s="17" t="str">
        <x:f>IF(S183="","",'参数'!$B$3+SUM($S$3:S183))</x:f>
      </x:c>
      <x:c r="V183" s="15"/>
      <x:c r="W183" s="15"/>
      <x:c r="X183" s="15"/>
    </x:row>
    <x:row r="184" ht="25.5" customHeight="1">
      <x:c r="A184" s="15" t="str">
        <x:f>IF(D184="","",ROW()-2)</x:f>
      </x:c>
      <x:c r="B184" s="16"/>
      <x:c r="C184" s="15"/>
      <x:c r="D184" s="15"/>
      <x:c r="E184" s="16"/>
      <x:c r="F184" s="15"/>
      <x:c r="G184" s="15"/>
      <x:c r="H184" s="15"/>
      <x:c r="I184" s="15"/>
      <x:c r="J184" s="15"/>
      <x:c r="K184" s="15"/>
      <x:c r="L184" s="17" t="str">
        <x:f>IF(M184="","",'参数'!$B$3+IF(ROW()=3,0,SUM($S$3:INDEX($S:$S,ROW()-1))))</x:f>
      </x:c>
      <x:c r="M184" s="17"/>
      <x:c r="N184" s="18"/>
      <x:c r="O184" s="19" t="str">
        <x:f>IF(OR(M184="",L184=""),"",M184/L184)</x:f>
      </x:c>
      <x:c r="P184" s="17" t="str">
        <x:f>IF(OR(M184="",N184=""),"",M184*N184)</x:f>
      </x:c>
      <x:c r="Q184" s="17"/>
      <x:c r="R184" s="17" t="str">
        <x:f>IF(OR(M184="",Q184="",Q184="未结算"),"",SWITCH(Q184,"赢",M184*N184,"输",0,"走水",M184,"取消",M184,"半赢",M184*(1+(N184-1)/2),"半输",M184*0.5,""))</x:f>
      </x:c>
      <x:c r="S184" s="17" t="str">
        <x:f>IF(R184="","",R184-M184)</x:f>
      </x:c>
      <x:c r="T184" s="19" t="str">
        <x:f>IF(OR(M184="",S184=""),"",S184/M184)</x:f>
      </x:c>
      <x:c r="U184" s="17" t="str">
        <x:f>IF(S184="","",'参数'!$B$3+SUM($S$3:S184))</x:f>
      </x:c>
      <x:c r="V184" s="15"/>
      <x:c r="W184" s="15"/>
      <x:c r="X184" s="15"/>
    </x:row>
    <x:row r="185" ht="25.5" customHeight="1">
      <x:c r="A185" s="15" t="str">
        <x:f>IF(D185="","",ROW()-2)</x:f>
      </x:c>
      <x:c r="B185" s="16"/>
      <x:c r="C185" s="15"/>
      <x:c r="D185" s="15"/>
      <x:c r="E185" s="16"/>
      <x:c r="F185" s="15"/>
      <x:c r="G185" s="15"/>
      <x:c r="H185" s="15"/>
      <x:c r="I185" s="15"/>
      <x:c r="J185" s="15"/>
      <x:c r="K185" s="15"/>
      <x:c r="L185" s="17" t="str">
        <x:f>IF(M185="","",'参数'!$B$3+IF(ROW()=3,0,SUM($S$3:INDEX($S:$S,ROW()-1))))</x:f>
      </x:c>
      <x:c r="M185" s="17"/>
      <x:c r="N185" s="18"/>
      <x:c r="O185" s="19" t="str">
        <x:f>IF(OR(M185="",L185=""),"",M185/L185)</x:f>
      </x:c>
      <x:c r="P185" s="17" t="str">
        <x:f>IF(OR(M185="",N185=""),"",M185*N185)</x:f>
      </x:c>
      <x:c r="Q185" s="17"/>
      <x:c r="R185" s="17" t="str">
        <x:f>IF(OR(M185="",Q185="",Q185="未结算"),"",SWITCH(Q185,"赢",M185*N185,"输",0,"走水",M185,"取消",M185,"半赢",M185*(1+(N185-1)/2),"半输",M185*0.5,""))</x:f>
      </x:c>
      <x:c r="S185" s="17" t="str">
        <x:f>IF(R185="","",R185-M185)</x:f>
      </x:c>
      <x:c r="T185" s="19" t="str">
        <x:f>IF(OR(M185="",S185=""),"",S185/M185)</x:f>
      </x:c>
      <x:c r="U185" s="17" t="str">
        <x:f>IF(S185="","",'参数'!$B$3+SUM($S$3:S185))</x:f>
      </x:c>
      <x:c r="V185" s="15"/>
      <x:c r="W185" s="15"/>
      <x:c r="X185" s="15"/>
    </x:row>
    <x:row r="186" ht="25.5" customHeight="1">
      <x:c r="A186" s="15" t="str">
        <x:f>IF(D186="","",ROW()-2)</x:f>
      </x:c>
      <x:c r="B186" s="16"/>
      <x:c r="C186" s="15"/>
      <x:c r="D186" s="15"/>
      <x:c r="E186" s="16"/>
      <x:c r="F186" s="15"/>
      <x:c r="G186" s="15"/>
      <x:c r="H186" s="15"/>
      <x:c r="I186" s="15"/>
      <x:c r="J186" s="15"/>
      <x:c r="K186" s="15"/>
      <x:c r="L186" s="17" t="str">
        <x:f>IF(M186="","",'参数'!$B$3+IF(ROW()=3,0,SUM($S$3:INDEX($S:$S,ROW()-1))))</x:f>
      </x:c>
      <x:c r="M186" s="17"/>
      <x:c r="N186" s="18"/>
      <x:c r="O186" s="19" t="str">
        <x:f>IF(OR(M186="",L186=""),"",M186/L186)</x:f>
      </x:c>
      <x:c r="P186" s="17" t="str">
        <x:f>IF(OR(M186="",N186=""),"",M186*N186)</x:f>
      </x:c>
      <x:c r="Q186" s="17"/>
      <x:c r="R186" s="17" t="str">
        <x:f>IF(OR(M186="",Q186="",Q186="未结算"),"",SWITCH(Q186,"赢",M186*N186,"输",0,"走水",M186,"取消",M186,"半赢",M186*(1+(N186-1)/2),"半输",M186*0.5,""))</x:f>
      </x:c>
      <x:c r="S186" s="17" t="str">
        <x:f>IF(R186="","",R186-M186)</x:f>
      </x:c>
      <x:c r="T186" s="19" t="str">
        <x:f>IF(OR(M186="",S186=""),"",S186/M186)</x:f>
      </x:c>
      <x:c r="U186" s="17" t="str">
        <x:f>IF(S186="","",'参数'!$B$3+SUM($S$3:S186))</x:f>
      </x:c>
      <x:c r="V186" s="15"/>
      <x:c r="W186" s="15"/>
      <x:c r="X186" s="15"/>
    </x:row>
    <x:row r="187" ht="25.5" customHeight="1">
      <x:c r="A187" s="15" t="str">
        <x:f>IF(D187="","",ROW()-2)</x:f>
      </x:c>
      <x:c r="B187" s="16"/>
      <x:c r="C187" s="15"/>
      <x:c r="D187" s="15"/>
      <x:c r="E187" s="16"/>
      <x:c r="F187" s="15"/>
      <x:c r="G187" s="15"/>
      <x:c r="H187" s="15"/>
      <x:c r="I187" s="15"/>
      <x:c r="J187" s="15"/>
      <x:c r="K187" s="15"/>
      <x:c r="L187" s="17" t="str">
        <x:f>IF(M187="","",'参数'!$B$3+IF(ROW()=3,0,SUM($S$3:INDEX($S:$S,ROW()-1))))</x:f>
      </x:c>
      <x:c r="M187" s="17"/>
      <x:c r="N187" s="18"/>
      <x:c r="O187" s="19" t="str">
        <x:f>IF(OR(M187="",L187=""),"",M187/L187)</x:f>
      </x:c>
      <x:c r="P187" s="17" t="str">
        <x:f>IF(OR(M187="",N187=""),"",M187*N187)</x:f>
      </x:c>
      <x:c r="Q187" s="17"/>
      <x:c r="R187" s="17" t="str">
        <x:f>IF(OR(M187="",Q187="",Q187="未结算"),"",SWITCH(Q187,"赢",M187*N187,"输",0,"走水",M187,"取消",M187,"半赢",M187*(1+(N187-1)/2),"半输",M187*0.5,""))</x:f>
      </x:c>
      <x:c r="S187" s="17" t="str">
        <x:f>IF(R187="","",R187-M187)</x:f>
      </x:c>
      <x:c r="T187" s="19" t="str">
        <x:f>IF(OR(M187="",S187=""),"",S187/M187)</x:f>
      </x:c>
      <x:c r="U187" s="17" t="str">
        <x:f>IF(S187="","",'参数'!$B$3+SUM($S$3:S187))</x:f>
      </x:c>
      <x:c r="V187" s="15"/>
      <x:c r="W187" s="15"/>
      <x:c r="X187" s="15"/>
    </x:row>
    <x:row r="188" ht="25.5" customHeight="1">
      <x:c r="A188" s="15" t="str">
        <x:f>IF(D188="","",ROW()-2)</x:f>
      </x:c>
      <x:c r="B188" s="16"/>
      <x:c r="C188" s="15"/>
      <x:c r="D188" s="15"/>
      <x:c r="E188" s="16"/>
      <x:c r="F188" s="15"/>
      <x:c r="G188" s="15"/>
      <x:c r="H188" s="15"/>
      <x:c r="I188" s="15"/>
      <x:c r="J188" s="15"/>
      <x:c r="K188" s="15"/>
      <x:c r="L188" s="17" t="str">
        <x:f>IF(M188="","",'参数'!$B$3+IF(ROW()=3,0,SUM($S$3:INDEX($S:$S,ROW()-1))))</x:f>
      </x:c>
      <x:c r="M188" s="17"/>
      <x:c r="N188" s="18"/>
      <x:c r="O188" s="19" t="str">
        <x:f>IF(OR(M188="",L188=""),"",M188/L188)</x:f>
      </x:c>
      <x:c r="P188" s="17" t="str">
        <x:f>IF(OR(M188="",N188=""),"",M188*N188)</x:f>
      </x:c>
      <x:c r="Q188" s="17"/>
      <x:c r="R188" s="17" t="str">
        <x:f>IF(OR(M188="",Q188="",Q188="未结算"),"",SWITCH(Q188,"赢",M188*N188,"输",0,"走水",M188,"取消",M188,"半赢",M188*(1+(N188-1)/2),"半输",M188*0.5,""))</x:f>
      </x:c>
      <x:c r="S188" s="17" t="str">
        <x:f>IF(R188="","",R188-M188)</x:f>
      </x:c>
      <x:c r="T188" s="19" t="str">
        <x:f>IF(OR(M188="",S188=""),"",S188/M188)</x:f>
      </x:c>
      <x:c r="U188" s="17" t="str">
        <x:f>IF(S188="","",'参数'!$B$3+SUM($S$3:S188))</x:f>
      </x:c>
      <x:c r="V188" s="15"/>
      <x:c r="W188" s="15"/>
      <x:c r="X188" s="15"/>
    </x:row>
    <x:row r="189" ht="25.5" customHeight="1">
      <x:c r="A189" s="15" t="str">
        <x:f>IF(D189="","",ROW()-2)</x:f>
      </x:c>
      <x:c r="B189" s="16"/>
      <x:c r="C189" s="15"/>
      <x:c r="D189" s="15"/>
      <x:c r="E189" s="16"/>
      <x:c r="F189" s="15"/>
      <x:c r="G189" s="15"/>
      <x:c r="H189" s="15"/>
      <x:c r="I189" s="15"/>
      <x:c r="J189" s="15"/>
      <x:c r="K189" s="15"/>
      <x:c r="L189" s="17" t="str">
        <x:f>IF(M189="","",'参数'!$B$3+IF(ROW()=3,0,SUM($S$3:INDEX($S:$S,ROW()-1))))</x:f>
      </x:c>
      <x:c r="M189" s="17"/>
      <x:c r="N189" s="18"/>
      <x:c r="O189" s="19" t="str">
        <x:f>IF(OR(M189="",L189=""),"",M189/L189)</x:f>
      </x:c>
      <x:c r="P189" s="17" t="str">
        <x:f>IF(OR(M189="",N189=""),"",M189*N189)</x:f>
      </x:c>
      <x:c r="Q189" s="17"/>
      <x:c r="R189" s="17" t="str">
        <x:f>IF(OR(M189="",Q189="",Q189="未结算"),"",SWITCH(Q189,"赢",M189*N189,"输",0,"走水",M189,"取消",M189,"半赢",M189*(1+(N189-1)/2),"半输",M189*0.5,""))</x:f>
      </x:c>
      <x:c r="S189" s="17" t="str">
        <x:f>IF(R189="","",R189-M189)</x:f>
      </x:c>
      <x:c r="T189" s="19" t="str">
        <x:f>IF(OR(M189="",S189=""),"",S189/M189)</x:f>
      </x:c>
      <x:c r="U189" s="17" t="str">
        <x:f>IF(S189="","",'参数'!$B$3+SUM($S$3:S189))</x:f>
      </x:c>
      <x:c r="V189" s="15"/>
      <x:c r="W189" s="15"/>
      <x:c r="X189" s="15"/>
    </x:row>
    <x:row r="190" ht="25.5" customHeight="1">
      <x:c r="A190" s="15" t="str">
        <x:f>IF(D190="","",ROW()-2)</x:f>
      </x:c>
      <x:c r="B190" s="16"/>
      <x:c r="C190" s="15"/>
      <x:c r="D190" s="15"/>
      <x:c r="E190" s="16"/>
      <x:c r="F190" s="15"/>
      <x:c r="G190" s="15"/>
      <x:c r="H190" s="15"/>
      <x:c r="I190" s="15"/>
      <x:c r="J190" s="15"/>
      <x:c r="K190" s="15"/>
      <x:c r="L190" s="17" t="str">
        <x:f>IF(M190="","",'参数'!$B$3+IF(ROW()=3,0,SUM($S$3:INDEX($S:$S,ROW()-1))))</x:f>
      </x:c>
      <x:c r="M190" s="17"/>
      <x:c r="N190" s="18"/>
      <x:c r="O190" s="19" t="str">
        <x:f>IF(OR(M190="",L190=""),"",M190/L190)</x:f>
      </x:c>
      <x:c r="P190" s="17" t="str">
        <x:f>IF(OR(M190="",N190=""),"",M190*N190)</x:f>
      </x:c>
      <x:c r="Q190" s="17"/>
      <x:c r="R190" s="17" t="str">
        <x:f>IF(OR(M190="",Q190="",Q190="未结算"),"",SWITCH(Q190,"赢",M190*N190,"输",0,"走水",M190,"取消",M190,"半赢",M190*(1+(N190-1)/2),"半输",M190*0.5,""))</x:f>
      </x:c>
      <x:c r="S190" s="17" t="str">
        <x:f>IF(R190="","",R190-M190)</x:f>
      </x:c>
      <x:c r="T190" s="19" t="str">
        <x:f>IF(OR(M190="",S190=""),"",S190/M190)</x:f>
      </x:c>
      <x:c r="U190" s="17" t="str">
        <x:f>IF(S190="","",'参数'!$B$3+SUM($S$3:S190))</x:f>
      </x:c>
      <x:c r="V190" s="15"/>
      <x:c r="W190" s="15"/>
      <x:c r="X190" s="15"/>
    </x:row>
    <x:row r="191" ht="25.5" customHeight="1">
      <x:c r="A191" s="15" t="str">
        <x:f>IF(D191="","",ROW()-2)</x:f>
      </x:c>
      <x:c r="B191" s="16"/>
      <x:c r="C191" s="15"/>
      <x:c r="D191" s="15"/>
      <x:c r="E191" s="16"/>
      <x:c r="F191" s="15"/>
      <x:c r="G191" s="15"/>
      <x:c r="H191" s="15"/>
      <x:c r="I191" s="15"/>
      <x:c r="J191" s="15"/>
      <x:c r="K191" s="15"/>
      <x:c r="L191" s="17" t="str">
        <x:f>IF(M191="","",'参数'!$B$3+IF(ROW()=3,0,SUM($S$3:INDEX($S:$S,ROW()-1))))</x:f>
      </x:c>
      <x:c r="M191" s="17"/>
      <x:c r="N191" s="18"/>
      <x:c r="O191" s="19" t="str">
        <x:f>IF(OR(M191="",L191=""),"",M191/L191)</x:f>
      </x:c>
      <x:c r="P191" s="17" t="str">
        <x:f>IF(OR(M191="",N191=""),"",M191*N191)</x:f>
      </x:c>
      <x:c r="Q191" s="17"/>
      <x:c r="R191" s="17" t="str">
        <x:f>IF(OR(M191="",Q191="",Q191="未结算"),"",SWITCH(Q191,"赢",M191*N191,"输",0,"走水",M191,"取消",M191,"半赢",M191*(1+(N191-1)/2),"半输",M191*0.5,""))</x:f>
      </x:c>
      <x:c r="S191" s="17" t="str">
        <x:f>IF(R191="","",R191-M191)</x:f>
      </x:c>
      <x:c r="T191" s="19" t="str">
        <x:f>IF(OR(M191="",S191=""),"",S191/M191)</x:f>
      </x:c>
      <x:c r="U191" s="17" t="str">
        <x:f>IF(S191="","",'参数'!$B$3+SUM($S$3:S191))</x:f>
      </x:c>
      <x:c r="V191" s="15"/>
      <x:c r="W191" s="15"/>
      <x:c r="X191" s="15"/>
    </x:row>
    <x:row r="192" ht="25.5" customHeight="1">
      <x:c r="A192" s="15" t="str">
        <x:f>IF(D192="","",ROW()-2)</x:f>
      </x:c>
      <x:c r="B192" s="16"/>
      <x:c r="C192" s="15"/>
      <x:c r="D192" s="15"/>
      <x:c r="E192" s="16"/>
      <x:c r="F192" s="15"/>
      <x:c r="G192" s="15"/>
      <x:c r="H192" s="15"/>
      <x:c r="I192" s="15"/>
      <x:c r="J192" s="15"/>
      <x:c r="K192" s="15"/>
      <x:c r="L192" s="17" t="str">
        <x:f>IF(M192="","",'参数'!$B$3+IF(ROW()=3,0,SUM($S$3:INDEX($S:$S,ROW()-1))))</x:f>
      </x:c>
      <x:c r="M192" s="17"/>
      <x:c r="N192" s="18"/>
      <x:c r="O192" s="19" t="str">
        <x:f>IF(OR(M192="",L192=""),"",M192/L192)</x:f>
      </x:c>
      <x:c r="P192" s="17" t="str">
        <x:f>IF(OR(M192="",N192=""),"",M192*N192)</x:f>
      </x:c>
      <x:c r="Q192" s="17"/>
      <x:c r="R192" s="17" t="str">
        <x:f>IF(OR(M192="",Q192="",Q192="未结算"),"",SWITCH(Q192,"赢",M192*N192,"输",0,"走水",M192,"取消",M192,"半赢",M192*(1+(N192-1)/2),"半输",M192*0.5,""))</x:f>
      </x:c>
      <x:c r="S192" s="17" t="str">
        <x:f>IF(R192="","",R192-M192)</x:f>
      </x:c>
      <x:c r="T192" s="19" t="str">
        <x:f>IF(OR(M192="",S192=""),"",S192/M192)</x:f>
      </x:c>
      <x:c r="U192" s="17" t="str">
        <x:f>IF(S192="","",'参数'!$B$3+SUM($S$3:S192))</x:f>
      </x:c>
      <x:c r="V192" s="15"/>
      <x:c r="W192" s="15"/>
      <x:c r="X192" s="15"/>
    </x:row>
    <x:row r="193" ht="25.5" customHeight="1">
      <x:c r="A193" s="15" t="str">
        <x:f>IF(D193="","",ROW()-2)</x:f>
      </x:c>
      <x:c r="B193" s="16"/>
      <x:c r="C193" s="15"/>
      <x:c r="D193" s="15"/>
      <x:c r="E193" s="16"/>
      <x:c r="F193" s="15"/>
      <x:c r="G193" s="15"/>
      <x:c r="H193" s="15"/>
      <x:c r="I193" s="15"/>
      <x:c r="J193" s="15"/>
      <x:c r="K193" s="15"/>
      <x:c r="L193" s="17" t="str">
        <x:f>IF(M193="","",'参数'!$B$3+IF(ROW()=3,0,SUM($S$3:INDEX($S:$S,ROW()-1))))</x:f>
      </x:c>
      <x:c r="M193" s="17"/>
      <x:c r="N193" s="18"/>
      <x:c r="O193" s="19" t="str">
        <x:f>IF(OR(M193="",L193=""),"",M193/L193)</x:f>
      </x:c>
      <x:c r="P193" s="17" t="str">
        <x:f>IF(OR(M193="",N193=""),"",M193*N193)</x:f>
      </x:c>
      <x:c r="Q193" s="17"/>
      <x:c r="R193" s="17" t="str">
        <x:f>IF(OR(M193="",Q193="",Q193="未结算"),"",SWITCH(Q193,"赢",M193*N193,"输",0,"走水",M193,"取消",M193,"半赢",M193*(1+(N193-1)/2),"半输",M193*0.5,""))</x:f>
      </x:c>
      <x:c r="S193" s="17" t="str">
        <x:f>IF(R193="","",R193-M193)</x:f>
      </x:c>
      <x:c r="T193" s="19" t="str">
        <x:f>IF(OR(M193="",S193=""),"",S193/M193)</x:f>
      </x:c>
      <x:c r="U193" s="17" t="str">
        <x:f>IF(S193="","",'参数'!$B$3+SUM($S$3:S193))</x:f>
      </x:c>
      <x:c r="V193" s="15"/>
      <x:c r="W193" s="15"/>
      <x:c r="X193" s="15"/>
    </x:row>
    <x:row r="194" ht="25.5" customHeight="1">
      <x:c r="A194" s="15" t="str">
        <x:f>IF(D194="","",ROW()-2)</x:f>
      </x:c>
      <x:c r="B194" s="16"/>
      <x:c r="C194" s="15"/>
      <x:c r="D194" s="15"/>
      <x:c r="E194" s="16"/>
      <x:c r="F194" s="15"/>
      <x:c r="G194" s="15"/>
      <x:c r="H194" s="15"/>
      <x:c r="I194" s="15"/>
      <x:c r="J194" s="15"/>
      <x:c r="K194" s="15"/>
      <x:c r="L194" s="17" t="str">
        <x:f>IF(M194="","",'参数'!$B$3+IF(ROW()=3,0,SUM($S$3:INDEX($S:$S,ROW()-1))))</x:f>
      </x:c>
      <x:c r="M194" s="17"/>
      <x:c r="N194" s="18"/>
      <x:c r="O194" s="19" t="str">
        <x:f>IF(OR(M194="",L194=""),"",M194/L194)</x:f>
      </x:c>
      <x:c r="P194" s="17" t="str">
        <x:f>IF(OR(M194="",N194=""),"",M194*N194)</x:f>
      </x:c>
      <x:c r="Q194" s="17"/>
      <x:c r="R194" s="17" t="str">
        <x:f>IF(OR(M194="",Q194="",Q194="未结算"),"",SWITCH(Q194,"赢",M194*N194,"输",0,"走水",M194,"取消",M194,"半赢",M194*(1+(N194-1)/2),"半输",M194*0.5,""))</x:f>
      </x:c>
      <x:c r="S194" s="17" t="str">
        <x:f>IF(R194="","",R194-M194)</x:f>
      </x:c>
      <x:c r="T194" s="19" t="str">
        <x:f>IF(OR(M194="",S194=""),"",S194/M194)</x:f>
      </x:c>
      <x:c r="U194" s="17" t="str">
        <x:f>IF(S194="","",'参数'!$B$3+SUM($S$3:S194))</x:f>
      </x:c>
      <x:c r="V194" s="15"/>
      <x:c r="W194" s="15"/>
      <x:c r="X194" s="15"/>
    </x:row>
    <x:row r="195" ht="25.5" customHeight="1">
      <x:c r="A195" s="15" t="str">
        <x:f>IF(D195="","",ROW()-2)</x:f>
      </x:c>
      <x:c r="B195" s="16"/>
      <x:c r="C195" s="15"/>
      <x:c r="D195" s="15"/>
      <x:c r="E195" s="16"/>
      <x:c r="F195" s="15"/>
      <x:c r="G195" s="15"/>
      <x:c r="H195" s="15"/>
      <x:c r="I195" s="15"/>
      <x:c r="J195" s="15"/>
      <x:c r="K195" s="15"/>
      <x:c r="L195" s="17" t="str">
        <x:f>IF(M195="","",'参数'!$B$3+IF(ROW()=3,0,SUM($S$3:INDEX($S:$S,ROW()-1))))</x:f>
      </x:c>
      <x:c r="M195" s="17"/>
      <x:c r="N195" s="18"/>
      <x:c r="O195" s="19" t="str">
        <x:f>IF(OR(M195="",L195=""),"",M195/L195)</x:f>
      </x:c>
      <x:c r="P195" s="17" t="str">
        <x:f>IF(OR(M195="",N195=""),"",M195*N195)</x:f>
      </x:c>
      <x:c r="Q195" s="17"/>
      <x:c r="R195" s="17" t="str">
        <x:f>IF(OR(M195="",Q195="",Q195="未结算"),"",SWITCH(Q195,"赢",M195*N195,"输",0,"走水",M195,"取消",M195,"半赢",M195*(1+(N195-1)/2),"半输",M195*0.5,""))</x:f>
      </x:c>
      <x:c r="S195" s="17" t="str">
        <x:f>IF(R195="","",R195-M195)</x:f>
      </x:c>
      <x:c r="T195" s="19" t="str">
        <x:f>IF(OR(M195="",S195=""),"",S195/M195)</x:f>
      </x:c>
      <x:c r="U195" s="17" t="str">
        <x:f>IF(S195="","",'参数'!$B$3+SUM($S$3:S195))</x:f>
      </x:c>
      <x:c r="V195" s="15"/>
      <x:c r="W195" s="15"/>
      <x:c r="X195" s="15"/>
    </x:row>
    <x:row r="196" ht="25.5" customHeight="1">
      <x:c r="A196" s="15" t="str">
        <x:f>IF(D196="","",ROW()-2)</x:f>
      </x:c>
      <x:c r="B196" s="16"/>
      <x:c r="C196" s="15"/>
      <x:c r="D196" s="15"/>
      <x:c r="E196" s="16"/>
      <x:c r="F196" s="15"/>
      <x:c r="G196" s="15"/>
      <x:c r="H196" s="15"/>
      <x:c r="I196" s="15"/>
      <x:c r="J196" s="15"/>
      <x:c r="K196" s="15"/>
      <x:c r="L196" s="17" t="str">
        <x:f>IF(M196="","",'参数'!$B$3+IF(ROW()=3,0,SUM($S$3:INDEX($S:$S,ROW()-1))))</x:f>
      </x:c>
      <x:c r="M196" s="17"/>
      <x:c r="N196" s="18"/>
      <x:c r="O196" s="19" t="str">
        <x:f>IF(OR(M196="",L196=""),"",M196/L196)</x:f>
      </x:c>
      <x:c r="P196" s="17" t="str">
        <x:f>IF(OR(M196="",N196=""),"",M196*N196)</x:f>
      </x:c>
      <x:c r="Q196" s="17"/>
      <x:c r="R196" s="17" t="str">
        <x:f>IF(OR(M196="",Q196="",Q196="未结算"),"",SWITCH(Q196,"赢",M196*N196,"输",0,"走水",M196,"取消",M196,"半赢",M196*(1+(N196-1)/2),"半输",M196*0.5,""))</x:f>
      </x:c>
      <x:c r="S196" s="17" t="str">
        <x:f>IF(R196="","",R196-M196)</x:f>
      </x:c>
      <x:c r="T196" s="19" t="str">
        <x:f>IF(OR(M196="",S196=""),"",S196/M196)</x:f>
      </x:c>
      <x:c r="U196" s="17" t="str">
        <x:f>IF(S196="","",'参数'!$B$3+SUM($S$3:S196))</x:f>
      </x:c>
      <x:c r="V196" s="15"/>
      <x:c r="W196" s="15"/>
      <x:c r="X196" s="15"/>
    </x:row>
    <x:row r="197" ht="25.5" customHeight="1">
      <x:c r="A197" s="15" t="str">
        <x:f>IF(D197="","",ROW()-2)</x:f>
      </x:c>
      <x:c r="B197" s="16"/>
      <x:c r="C197" s="15"/>
      <x:c r="D197" s="15"/>
      <x:c r="E197" s="16"/>
      <x:c r="F197" s="15"/>
      <x:c r="G197" s="15"/>
      <x:c r="H197" s="15"/>
      <x:c r="I197" s="15"/>
      <x:c r="J197" s="15"/>
      <x:c r="K197" s="15"/>
      <x:c r="L197" s="17" t="str">
        <x:f>IF(M197="","",'参数'!$B$3+IF(ROW()=3,0,SUM($S$3:INDEX($S:$S,ROW()-1))))</x:f>
      </x:c>
      <x:c r="M197" s="17"/>
      <x:c r="N197" s="18"/>
      <x:c r="O197" s="19" t="str">
        <x:f>IF(OR(M197="",L197=""),"",M197/L197)</x:f>
      </x:c>
      <x:c r="P197" s="17" t="str">
        <x:f>IF(OR(M197="",N197=""),"",M197*N197)</x:f>
      </x:c>
      <x:c r="Q197" s="17"/>
      <x:c r="R197" s="17" t="str">
        <x:f>IF(OR(M197="",Q197="",Q197="未结算"),"",SWITCH(Q197,"赢",M197*N197,"输",0,"走水",M197,"取消",M197,"半赢",M197*(1+(N197-1)/2),"半输",M197*0.5,""))</x:f>
      </x:c>
      <x:c r="S197" s="17" t="str">
        <x:f>IF(R197="","",R197-M197)</x:f>
      </x:c>
      <x:c r="T197" s="19" t="str">
        <x:f>IF(OR(M197="",S197=""),"",S197/M197)</x:f>
      </x:c>
      <x:c r="U197" s="17" t="str">
        <x:f>IF(S197="","",'参数'!$B$3+SUM($S$3:S197))</x:f>
      </x:c>
      <x:c r="V197" s="15"/>
      <x:c r="W197" s="15"/>
      <x:c r="X197" s="15"/>
    </x:row>
    <x:row r="198" ht="25.5" customHeight="1">
      <x:c r="A198" s="15" t="str">
        <x:f>IF(D198="","",ROW()-2)</x:f>
      </x:c>
      <x:c r="B198" s="16"/>
      <x:c r="C198" s="15"/>
      <x:c r="D198" s="15"/>
      <x:c r="E198" s="16"/>
      <x:c r="F198" s="15"/>
      <x:c r="G198" s="15"/>
      <x:c r="H198" s="15"/>
      <x:c r="I198" s="15"/>
      <x:c r="J198" s="15"/>
      <x:c r="K198" s="15"/>
      <x:c r="L198" s="17" t="str">
        <x:f>IF(M198="","",'参数'!$B$3+IF(ROW()=3,0,SUM($S$3:INDEX($S:$S,ROW()-1))))</x:f>
      </x:c>
      <x:c r="M198" s="17"/>
      <x:c r="N198" s="18"/>
      <x:c r="O198" s="19" t="str">
        <x:f>IF(OR(M198="",L198=""),"",M198/L198)</x:f>
      </x:c>
      <x:c r="P198" s="17" t="str">
        <x:f>IF(OR(M198="",N198=""),"",M198*N198)</x:f>
      </x:c>
      <x:c r="Q198" s="17"/>
      <x:c r="R198" s="17" t="str">
        <x:f>IF(OR(M198="",Q198="",Q198="未结算"),"",SWITCH(Q198,"赢",M198*N198,"输",0,"走水",M198,"取消",M198,"半赢",M198*(1+(N198-1)/2),"半输",M198*0.5,""))</x:f>
      </x:c>
      <x:c r="S198" s="17" t="str">
        <x:f>IF(R198="","",R198-M198)</x:f>
      </x:c>
      <x:c r="T198" s="19" t="str">
        <x:f>IF(OR(M198="",S198=""),"",S198/M198)</x:f>
      </x:c>
      <x:c r="U198" s="17" t="str">
        <x:f>IF(S198="","",'参数'!$B$3+SUM($S$3:S198))</x:f>
      </x:c>
      <x:c r="V198" s="15"/>
      <x:c r="W198" s="15"/>
      <x:c r="X198" s="15"/>
    </x:row>
    <x:row r="199" ht="25.5" customHeight="1">
      <x:c r="A199" s="15" t="str">
        <x:f>IF(D199="","",ROW()-2)</x:f>
      </x:c>
      <x:c r="B199" s="16"/>
      <x:c r="C199" s="15"/>
      <x:c r="D199" s="15"/>
      <x:c r="E199" s="16"/>
      <x:c r="F199" s="15"/>
      <x:c r="G199" s="15"/>
      <x:c r="H199" s="15"/>
      <x:c r="I199" s="15"/>
      <x:c r="J199" s="15"/>
      <x:c r="K199" s="15"/>
      <x:c r="L199" s="17" t="str">
        <x:f>IF(M199="","",'参数'!$B$3+IF(ROW()=3,0,SUM($S$3:INDEX($S:$S,ROW()-1))))</x:f>
      </x:c>
      <x:c r="M199" s="17"/>
      <x:c r="N199" s="18"/>
      <x:c r="O199" s="19" t="str">
        <x:f>IF(OR(M199="",L199=""),"",M199/L199)</x:f>
      </x:c>
      <x:c r="P199" s="17" t="str">
        <x:f>IF(OR(M199="",N199=""),"",M199*N199)</x:f>
      </x:c>
      <x:c r="Q199" s="17"/>
      <x:c r="R199" s="17" t="str">
        <x:f>IF(OR(M199="",Q199="",Q199="未结算"),"",SWITCH(Q199,"赢",M199*N199,"输",0,"走水",M199,"取消",M199,"半赢",M199*(1+(N199-1)/2),"半输",M199*0.5,""))</x:f>
      </x:c>
      <x:c r="S199" s="17" t="str">
        <x:f>IF(R199="","",R199-M199)</x:f>
      </x:c>
      <x:c r="T199" s="19" t="str">
        <x:f>IF(OR(M199="",S199=""),"",S199/M199)</x:f>
      </x:c>
      <x:c r="U199" s="17" t="str">
        <x:f>IF(S199="","",'参数'!$B$3+SUM($S$3:S199))</x:f>
      </x:c>
      <x:c r="V199" s="15"/>
      <x:c r="W199" s="15"/>
      <x:c r="X199" s="15"/>
    </x:row>
    <x:row r="200" ht="25.5" customHeight="1">
      <x:c r="A200" s="15" t="str">
        <x:f>IF(D200="","",ROW()-2)</x:f>
      </x:c>
      <x:c r="B200" s="16"/>
      <x:c r="C200" s="15"/>
      <x:c r="D200" s="15"/>
      <x:c r="E200" s="16"/>
      <x:c r="F200" s="15"/>
      <x:c r="G200" s="15"/>
      <x:c r="H200" s="15"/>
      <x:c r="I200" s="15"/>
      <x:c r="J200" s="15"/>
      <x:c r="K200" s="15"/>
      <x:c r="L200" s="17" t="str">
        <x:f>IF(M200="","",'参数'!$B$3+IF(ROW()=3,0,SUM($S$3:INDEX($S:$S,ROW()-1))))</x:f>
      </x:c>
      <x:c r="M200" s="17"/>
      <x:c r="N200" s="18"/>
      <x:c r="O200" s="19" t="str">
        <x:f>IF(OR(M200="",L200=""),"",M200/L200)</x:f>
      </x:c>
      <x:c r="P200" s="17" t="str">
        <x:f>IF(OR(M200="",N200=""),"",M200*N200)</x:f>
      </x:c>
      <x:c r="Q200" s="17"/>
      <x:c r="R200" s="17" t="str">
        <x:f>IF(OR(M200="",Q200="",Q200="未结算"),"",SWITCH(Q200,"赢",M200*N200,"输",0,"走水",M200,"取消",M200,"半赢",M200*(1+(N200-1)/2),"半输",M200*0.5,""))</x:f>
      </x:c>
      <x:c r="S200" s="17" t="str">
        <x:f>IF(R200="","",R200-M200)</x:f>
      </x:c>
      <x:c r="T200" s="19" t="str">
        <x:f>IF(OR(M200="",S200=""),"",S200/M200)</x:f>
      </x:c>
      <x:c r="U200" s="17" t="str">
        <x:f>IF(S200="","",'参数'!$B$3+SUM($S$3:S200))</x:f>
      </x:c>
      <x:c r="V200" s="15"/>
      <x:c r="W200" s="15"/>
      <x:c r="X200" s="15"/>
    </x:row>
    <x:row r="201" ht="25.5" customHeight="1">
      <x:c r="A201" s="15" t="str">
        <x:f>IF(D201="","",ROW()-2)</x:f>
      </x:c>
      <x:c r="B201" s="16"/>
      <x:c r="C201" s="15"/>
      <x:c r="D201" s="15"/>
      <x:c r="E201" s="16"/>
      <x:c r="F201" s="15"/>
      <x:c r="G201" s="15"/>
      <x:c r="H201" s="15"/>
      <x:c r="I201" s="15"/>
      <x:c r="J201" s="15"/>
      <x:c r="K201" s="15"/>
      <x:c r="L201" s="17" t="str">
        <x:f>IF(M201="","",'参数'!$B$3+IF(ROW()=3,0,SUM($S$3:INDEX($S:$S,ROW()-1))))</x:f>
      </x:c>
      <x:c r="M201" s="17"/>
      <x:c r="N201" s="18"/>
      <x:c r="O201" s="19" t="str">
        <x:f>IF(OR(M201="",L201=""),"",M201/L201)</x:f>
      </x:c>
      <x:c r="P201" s="17" t="str">
        <x:f>IF(OR(M201="",N201=""),"",M201*N201)</x:f>
      </x:c>
      <x:c r="Q201" s="17"/>
      <x:c r="R201" s="17" t="str">
        <x:f>IF(OR(M201="",Q201="",Q201="未结算"),"",SWITCH(Q201,"赢",M201*N201,"输",0,"走水",M201,"取消",M201,"半赢",M201*(1+(N201-1)/2),"半输",M201*0.5,""))</x:f>
      </x:c>
      <x:c r="S201" s="17" t="str">
        <x:f>IF(R201="","",R201-M201)</x:f>
      </x:c>
      <x:c r="T201" s="19" t="str">
        <x:f>IF(OR(M201="",S201=""),"",S201/M201)</x:f>
      </x:c>
      <x:c r="U201" s="17" t="str">
        <x:f>IF(S201="","",'参数'!$B$3+SUM($S$3:S201))</x:f>
      </x:c>
      <x:c r="V201" s="15"/>
      <x:c r="W201" s="15"/>
      <x:c r="X201" s="15"/>
    </x:row>
    <x:row r="202" ht="25.5" customHeight="1">
      <x:c r="A202" s="15" t="str">
        <x:f>IF(D202="","",ROW()-2)</x:f>
      </x:c>
      <x:c r="B202" s="16"/>
      <x:c r="C202" s="15"/>
      <x:c r="D202" s="15"/>
      <x:c r="E202" s="16"/>
      <x:c r="F202" s="15"/>
      <x:c r="G202" s="15"/>
      <x:c r="H202" s="15"/>
      <x:c r="I202" s="15"/>
      <x:c r="J202" s="15"/>
      <x:c r="K202" s="15"/>
      <x:c r="L202" s="17" t="str">
        <x:f>IF(M202="","",'参数'!$B$3+IF(ROW()=3,0,SUM($S$3:INDEX($S:$S,ROW()-1))))</x:f>
      </x:c>
      <x:c r="M202" s="17"/>
      <x:c r="N202" s="18"/>
      <x:c r="O202" s="19" t="str">
        <x:f>IF(OR(M202="",L202=""),"",M202/L202)</x:f>
      </x:c>
      <x:c r="P202" s="17" t="str">
        <x:f>IF(OR(M202="",N202=""),"",M202*N202)</x:f>
      </x:c>
      <x:c r="Q202" s="17"/>
      <x:c r="R202" s="17" t="str">
        <x:f>IF(OR(M202="",Q202="",Q202="未结算"),"",SWITCH(Q202,"赢",M202*N202,"输",0,"走水",M202,"取消",M202,"半赢",M202*(1+(N202-1)/2),"半输",M202*0.5,""))</x:f>
      </x:c>
      <x:c r="S202" s="17" t="str">
        <x:f>IF(R202="","",R202-M202)</x:f>
      </x:c>
      <x:c r="T202" s="19" t="str">
        <x:f>IF(OR(M202="",S202=""),"",S202/M202)</x:f>
      </x:c>
      <x:c r="U202" s="17" t="str">
        <x:f>IF(S202="","",'参数'!$B$3+SUM($S$3:S202))</x:f>
      </x:c>
      <x:c r="V202" s="15"/>
      <x:c r="W202" s="15"/>
      <x:c r="X202" s="15"/>
    </x:row>
    <x:row r="203" ht="25.5" customHeight="1">
      <x:c r="A203" s="15" t="str">
        <x:f>IF(D203="","",ROW()-2)</x:f>
      </x:c>
      <x:c r="B203" s="16"/>
      <x:c r="C203" s="15"/>
      <x:c r="D203" s="15"/>
      <x:c r="E203" s="16"/>
      <x:c r="F203" s="15"/>
      <x:c r="G203" s="15"/>
      <x:c r="H203" s="15"/>
      <x:c r="I203" s="15"/>
      <x:c r="J203" s="15"/>
      <x:c r="K203" s="15"/>
      <x:c r="L203" s="17" t="str">
        <x:f>IF(M203="","",'参数'!$B$3+IF(ROW()=3,0,SUM($S$3:INDEX($S:$S,ROW()-1))))</x:f>
      </x:c>
      <x:c r="M203" s="17"/>
      <x:c r="N203" s="18"/>
      <x:c r="O203" s="19" t="str">
        <x:f>IF(OR(M203="",L203=""),"",M203/L203)</x:f>
      </x:c>
      <x:c r="P203" s="17" t="str">
        <x:f>IF(OR(M203="",N203=""),"",M203*N203)</x:f>
      </x:c>
      <x:c r="Q203" s="17"/>
      <x:c r="R203" s="17" t="str">
        <x:f>IF(OR(M203="",Q203="",Q203="未结算"),"",SWITCH(Q203,"赢",M203*N203,"输",0,"走水",M203,"取消",M203,"半赢",M203*(1+(N203-1)/2),"半输",M203*0.5,""))</x:f>
      </x:c>
      <x:c r="S203" s="17" t="str">
        <x:f>IF(R203="","",R203-M203)</x:f>
      </x:c>
      <x:c r="T203" s="19" t="str">
        <x:f>IF(OR(M203="",S203=""),"",S203/M203)</x:f>
      </x:c>
      <x:c r="U203" s="17" t="str">
        <x:f>IF(S203="","",'参数'!$B$3+SUM($S$3:S203))</x:f>
      </x:c>
      <x:c r="V203" s="15"/>
      <x:c r="W203" s="15"/>
      <x:c r="X203" s="15"/>
    </x:row>
    <x:row r="204" ht="25.5" customHeight="1">
      <x:c r="A204" s="15" t="str">
        <x:f>IF(D204="","",ROW()-2)</x:f>
      </x:c>
      <x:c r="B204" s="16"/>
      <x:c r="C204" s="15"/>
      <x:c r="D204" s="15"/>
      <x:c r="E204" s="16"/>
      <x:c r="F204" s="15"/>
      <x:c r="G204" s="15"/>
      <x:c r="H204" s="15"/>
      <x:c r="I204" s="15"/>
      <x:c r="J204" s="15"/>
      <x:c r="K204" s="15"/>
      <x:c r="L204" s="17" t="str">
        <x:f>IF(M204="","",'参数'!$B$3+IF(ROW()=3,0,SUM($S$3:INDEX($S:$S,ROW()-1))))</x:f>
      </x:c>
      <x:c r="M204" s="17"/>
      <x:c r="N204" s="18"/>
      <x:c r="O204" s="19" t="str">
        <x:f>IF(OR(M204="",L204=""),"",M204/L204)</x:f>
      </x:c>
      <x:c r="P204" s="17" t="str">
        <x:f>IF(OR(M204="",N204=""),"",M204*N204)</x:f>
      </x:c>
      <x:c r="Q204" s="17"/>
      <x:c r="R204" s="17" t="str">
        <x:f>IF(OR(M204="",Q204="",Q204="未结算"),"",SWITCH(Q204,"赢",M204*N204,"输",0,"走水",M204,"取消",M204,"半赢",M204*(1+(N204-1)/2),"半输",M204*0.5,""))</x:f>
      </x:c>
      <x:c r="S204" s="17" t="str">
        <x:f>IF(R204="","",R204-M204)</x:f>
      </x:c>
      <x:c r="T204" s="19" t="str">
        <x:f>IF(OR(M204="",S204=""),"",S204/M204)</x:f>
      </x:c>
      <x:c r="U204" s="17" t="str">
        <x:f>IF(S204="","",'参数'!$B$3+SUM($S$3:S204))</x:f>
      </x:c>
      <x:c r="V204" s="15"/>
      <x:c r="W204" s="15"/>
      <x:c r="X204" s="15"/>
    </x:row>
    <x:row r="205" ht="25.5" customHeight="1">
      <x:c r="A205" s="15" t="str">
        <x:f>IF(D205="","",ROW()-2)</x:f>
      </x:c>
      <x:c r="B205" s="16"/>
      <x:c r="C205" s="15"/>
      <x:c r="D205" s="15"/>
      <x:c r="E205" s="16"/>
      <x:c r="F205" s="15"/>
      <x:c r="G205" s="15"/>
      <x:c r="H205" s="15"/>
      <x:c r="I205" s="15"/>
      <x:c r="J205" s="15"/>
      <x:c r="K205" s="15"/>
      <x:c r="L205" s="17" t="str">
        <x:f>IF(M205="","",'参数'!$B$3+IF(ROW()=3,0,SUM($S$3:INDEX($S:$S,ROW()-1))))</x:f>
      </x:c>
      <x:c r="M205" s="17"/>
      <x:c r="N205" s="18"/>
      <x:c r="O205" s="19" t="str">
        <x:f>IF(OR(M205="",L205=""),"",M205/L205)</x:f>
      </x:c>
      <x:c r="P205" s="17" t="str">
        <x:f>IF(OR(M205="",N205=""),"",M205*N205)</x:f>
      </x:c>
      <x:c r="Q205" s="17"/>
      <x:c r="R205" s="17" t="str">
        <x:f>IF(OR(M205="",Q205="",Q205="未结算"),"",SWITCH(Q205,"赢",M205*N205,"输",0,"走水",M205,"取消",M205,"半赢",M205*(1+(N205-1)/2),"半输",M205*0.5,""))</x:f>
      </x:c>
      <x:c r="S205" s="17" t="str">
        <x:f>IF(R205="","",R205-M205)</x:f>
      </x:c>
      <x:c r="T205" s="19" t="str">
        <x:f>IF(OR(M205="",S205=""),"",S205/M205)</x:f>
      </x:c>
      <x:c r="U205" s="17" t="str">
        <x:f>IF(S205="","",'参数'!$B$3+SUM($S$3:S205))</x:f>
      </x:c>
      <x:c r="V205" s="15"/>
      <x:c r="W205" s="15"/>
      <x:c r="X205" s="15"/>
    </x:row>
    <x:row r="206" ht="25.5" customHeight="1">
      <x:c r="A206" s="15" t="str">
        <x:f>IF(D206="","",ROW()-2)</x:f>
      </x:c>
      <x:c r="B206" s="16"/>
      <x:c r="C206" s="15"/>
      <x:c r="D206" s="15"/>
      <x:c r="E206" s="16"/>
      <x:c r="F206" s="15"/>
      <x:c r="G206" s="15"/>
      <x:c r="H206" s="15"/>
      <x:c r="I206" s="15"/>
      <x:c r="J206" s="15"/>
      <x:c r="K206" s="15"/>
      <x:c r="L206" s="17" t="str">
        <x:f>IF(M206="","",'参数'!$B$3+IF(ROW()=3,0,SUM($S$3:INDEX($S:$S,ROW()-1))))</x:f>
      </x:c>
      <x:c r="M206" s="17"/>
      <x:c r="N206" s="18"/>
      <x:c r="O206" s="19" t="str">
        <x:f>IF(OR(M206="",L206=""),"",M206/L206)</x:f>
      </x:c>
      <x:c r="P206" s="17" t="str">
        <x:f>IF(OR(M206="",N206=""),"",M206*N206)</x:f>
      </x:c>
      <x:c r="Q206" s="17"/>
      <x:c r="R206" s="17" t="str">
        <x:f>IF(OR(M206="",Q206="",Q206="未结算"),"",SWITCH(Q206,"赢",M206*N206,"输",0,"走水",M206,"取消",M206,"半赢",M206*(1+(N206-1)/2),"半输",M206*0.5,""))</x:f>
      </x:c>
      <x:c r="S206" s="17" t="str">
        <x:f>IF(R206="","",R206-M206)</x:f>
      </x:c>
      <x:c r="T206" s="19" t="str">
        <x:f>IF(OR(M206="",S206=""),"",S206/M206)</x:f>
      </x:c>
      <x:c r="U206" s="17" t="str">
        <x:f>IF(S206="","",'参数'!$B$3+SUM($S$3:S206))</x:f>
      </x:c>
      <x:c r="V206" s="15"/>
      <x:c r="W206" s="15"/>
      <x:c r="X206" s="15"/>
    </x:row>
    <x:row r="207" ht="25.5" customHeight="1">
      <x:c r="A207" s="15" t="str">
        <x:f>IF(D207="","",ROW()-2)</x:f>
      </x:c>
      <x:c r="B207" s="16"/>
      <x:c r="C207" s="15"/>
      <x:c r="D207" s="15"/>
      <x:c r="E207" s="16"/>
      <x:c r="F207" s="15"/>
      <x:c r="G207" s="15"/>
      <x:c r="H207" s="15"/>
      <x:c r="I207" s="15"/>
      <x:c r="J207" s="15"/>
      <x:c r="K207" s="15"/>
      <x:c r="L207" s="17" t="str">
        <x:f>IF(M207="","",'参数'!$B$3+IF(ROW()=3,0,SUM($S$3:INDEX($S:$S,ROW()-1))))</x:f>
      </x:c>
      <x:c r="M207" s="17"/>
      <x:c r="N207" s="18"/>
      <x:c r="O207" s="19" t="str">
        <x:f>IF(OR(M207="",L207=""),"",M207/L207)</x:f>
      </x:c>
      <x:c r="P207" s="17" t="str">
        <x:f>IF(OR(M207="",N207=""),"",M207*N207)</x:f>
      </x:c>
      <x:c r="Q207" s="17"/>
      <x:c r="R207" s="17" t="str">
        <x:f>IF(OR(M207="",Q207="",Q207="未结算"),"",SWITCH(Q207,"赢",M207*N207,"输",0,"走水",M207,"取消",M207,"半赢",M207*(1+(N207-1)/2),"半输",M207*0.5,""))</x:f>
      </x:c>
      <x:c r="S207" s="17" t="str">
        <x:f>IF(R207="","",R207-M207)</x:f>
      </x:c>
      <x:c r="T207" s="19" t="str">
        <x:f>IF(OR(M207="",S207=""),"",S207/M207)</x:f>
      </x:c>
      <x:c r="U207" s="17" t="str">
        <x:f>IF(S207="","",'参数'!$B$3+SUM($S$3:S207))</x:f>
      </x:c>
      <x:c r="V207" s="15"/>
      <x:c r="W207" s="15"/>
      <x:c r="X207" s="15"/>
    </x:row>
    <x:row r="208" ht="25.5" customHeight="1">
      <x:c r="A208" s="15" t="str">
        <x:f>IF(D208="","",ROW()-2)</x:f>
      </x:c>
      <x:c r="B208" s="16"/>
      <x:c r="C208" s="15"/>
      <x:c r="D208" s="15"/>
      <x:c r="E208" s="16"/>
      <x:c r="F208" s="15"/>
      <x:c r="G208" s="15"/>
      <x:c r="H208" s="15"/>
      <x:c r="I208" s="15"/>
      <x:c r="J208" s="15"/>
      <x:c r="K208" s="15"/>
      <x:c r="L208" s="17" t="str">
        <x:f>IF(M208="","",'参数'!$B$3+IF(ROW()=3,0,SUM($S$3:INDEX($S:$S,ROW()-1))))</x:f>
      </x:c>
      <x:c r="M208" s="17"/>
      <x:c r="N208" s="18"/>
      <x:c r="O208" s="19" t="str">
        <x:f>IF(OR(M208="",L208=""),"",M208/L208)</x:f>
      </x:c>
      <x:c r="P208" s="17" t="str">
        <x:f>IF(OR(M208="",N208=""),"",M208*N208)</x:f>
      </x:c>
      <x:c r="Q208" s="17"/>
      <x:c r="R208" s="17" t="str">
        <x:f>IF(OR(M208="",Q208="",Q208="未结算"),"",SWITCH(Q208,"赢",M208*N208,"输",0,"走水",M208,"取消",M208,"半赢",M208*(1+(N208-1)/2),"半输",M208*0.5,""))</x:f>
      </x:c>
      <x:c r="S208" s="17" t="str">
        <x:f>IF(R208="","",R208-M208)</x:f>
      </x:c>
      <x:c r="T208" s="19" t="str">
        <x:f>IF(OR(M208="",S208=""),"",S208/M208)</x:f>
      </x:c>
      <x:c r="U208" s="17" t="str">
        <x:f>IF(S208="","",'参数'!$B$3+SUM($S$3:S208))</x:f>
      </x:c>
      <x:c r="V208" s="15"/>
      <x:c r="W208" s="15"/>
      <x:c r="X208" s="15"/>
    </x:row>
    <x:row r="209" ht="25.5" customHeight="1">
      <x:c r="A209" s="15" t="str">
        <x:f>IF(D209="","",ROW()-2)</x:f>
      </x:c>
      <x:c r="B209" s="16"/>
      <x:c r="C209" s="15"/>
      <x:c r="D209" s="15"/>
      <x:c r="E209" s="16"/>
      <x:c r="F209" s="15"/>
      <x:c r="G209" s="15"/>
      <x:c r="H209" s="15"/>
      <x:c r="I209" s="15"/>
      <x:c r="J209" s="15"/>
      <x:c r="K209" s="15"/>
      <x:c r="L209" s="17" t="str">
        <x:f>IF(M209="","",'参数'!$B$3+IF(ROW()=3,0,SUM($S$3:INDEX($S:$S,ROW()-1))))</x:f>
      </x:c>
      <x:c r="M209" s="17"/>
      <x:c r="N209" s="18"/>
      <x:c r="O209" s="19" t="str">
        <x:f>IF(OR(M209="",L209=""),"",M209/L209)</x:f>
      </x:c>
      <x:c r="P209" s="17" t="str">
        <x:f>IF(OR(M209="",N209=""),"",M209*N209)</x:f>
      </x:c>
      <x:c r="Q209" s="17"/>
      <x:c r="R209" s="17" t="str">
        <x:f>IF(OR(M209="",Q209="",Q209="未结算"),"",SWITCH(Q209,"赢",M209*N209,"输",0,"走水",M209,"取消",M209,"半赢",M209*(1+(N209-1)/2),"半输",M209*0.5,""))</x:f>
      </x:c>
      <x:c r="S209" s="17" t="str">
        <x:f>IF(R209="","",R209-M209)</x:f>
      </x:c>
      <x:c r="T209" s="19" t="str">
        <x:f>IF(OR(M209="",S209=""),"",S209/M209)</x:f>
      </x:c>
      <x:c r="U209" s="17" t="str">
        <x:f>IF(S209="","",'参数'!$B$3+SUM($S$3:S209))</x:f>
      </x:c>
      <x:c r="V209" s="15"/>
      <x:c r="W209" s="15"/>
      <x:c r="X209" s="15"/>
    </x:row>
    <x:row r="210" ht="25.5" customHeight="1">
      <x:c r="A210" s="15" t="str">
        <x:f>IF(D210="","",ROW()-2)</x:f>
      </x:c>
      <x:c r="B210" s="16"/>
      <x:c r="C210" s="15"/>
      <x:c r="D210" s="15"/>
      <x:c r="E210" s="16"/>
      <x:c r="F210" s="15"/>
      <x:c r="G210" s="15"/>
      <x:c r="H210" s="15"/>
      <x:c r="I210" s="15"/>
      <x:c r="J210" s="15"/>
      <x:c r="K210" s="15"/>
      <x:c r="L210" s="17" t="str">
        <x:f>IF(M210="","",'参数'!$B$3+IF(ROW()=3,0,SUM($S$3:INDEX($S:$S,ROW()-1))))</x:f>
      </x:c>
      <x:c r="M210" s="17"/>
      <x:c r="N210" s="18"/>
      <x:c r="O210" s="19" t="str">
        <x:f>IF(OR(M210="",L210=""),"",M210/L210)</x:f>
      </x:c>
      <x:c r="P210" s="17" t="str">
        <x:f>IF(OR(M210="",N210=""),"",M210*N210)</x:f>
      </x:c>
      <x:c r="Q210" s="17"/>
      <x:c r="R210" s="17" t="str">
        <x:f>IF(OR(M210="",Q210="",Q210="未结算"),"",SWITCH(Q210,"赢",M210*N210,"输",0,"走水",M210,"取消",M210,"半赢",M210*(1+(N210-1)/2),"半输",M210*0.5,""))</x:f>
      </x:c>
      <x:c r="S210" s="17" t="str">
        <x:f>IF(R210="","",R210-M210)</x:f>
      </x:c>
      <x:c r="T210" s="19" t="str">
        <x:f>IF(OR(M210="",S210=""),"",S210/M210)</x:f>
      </x:c>
      <x:c r="U210" s="17" t="str">
        <x:f>IF(S210="","",'参数'!$B$3+SUM($S$3:S210))</x:f>
      </x:c>
      <x:c r="V210" s="15"/>
      <x:c r="W210" s="15"/>
      <x:c r="X210" s="15"/>
    </x:row>
    <x:row r="211" ht="25.5" customHeight="1">
      <x:c r="A211" s="15" t="str">
        <x:f>IF(D211="","",ROW()-2)</x:f>
      </x:c>
      <x:c r="B211" s="16"/>
      <x:c r="C211" s="15"/>
      <x:c r="D211" s="15"/>
      <x:c r="E211" s="16"/>
      <x:c r="F211" s="15"/>
      <x:c r="G211" s="15"/>
      <x:c r="H211" s="15"/>
      <x:c r="I211" s="15"/>
      <x:c r="J211" s="15"/>
      <x:c r="K211" s="15"/>
      <x:c r="L211" s="17" t="str">
        <x:f>IF(M211="","",'参数'!$B$3+IF(ROW()=3,0,SUM($S$3:INDEX($S:$S,ROW()-1))))</x:f>
      </x:c>
      <x:c r="M211" s="17"/>
      <x:c r="N211" s="18"/>
      <x:c r="O211" s="19" t="str">
        <x:f>IF(OR(M211="",L211=""),"",M211/L211)</x:f>
      </x:c>
      <x:c r="P211" s="17" t="str">
        <x:f>IF(OR(M211="",N211=""),"",M211*N211)</x:f>
      </x:c>
      <x:c r="Q211" s="17"/>
      <x:c r="R211" s="17" t="str">
        <x:f>IF(OR(M211="",Q211="",Q211="未结算"),"",SWITCH(Q211,"赢",M211*N211,"输",0,"走水",M211,"取消",M211,"半赢",M211*(1+(N211-1)/2),"半输",M211*0.5,""))</x:f>
      </x:c>
      <x:c r="S211" s="17" t="str">
        <x:f>IF(R211="","",R211-M211)</x:f>
      </x:c>
      <x:c r="T211" s="19" t="str">
        <x:f>IF(OR(M211="",S211=""),"",S211/M211)</x:f>
      </x:c>
      <x:c r="U211" s="17" t="str">
        <x:f>IF(S211="","",'参数'!$B$3+SUM($S$3:S211))</x:f>
      </x:c>
      <x:c r="V211" s="15"/>
      <x:c r="W211" s="15"/>
      <x:c r="X211" s="15"/>
    </x:row>
    <x:row r="212" ht="25.5" customHeight="1">
      <x:c r="A212" s="15" t="str">
        <x:f>IF(D212="","",ROW()-2)</x:f>
      </x:c>
      <x:c r="B212" s="16"/>
      <x:c r="C212" s="15"/>
      <x:c r="D212" s="15"/>
      <x:c r="E212" s="16"/>
      <x:c r="F212" s="15"/>
      <x:c r="G212" s="15"/>
      <x:c r="H212" s="15"/>
      <x:c r="I212" s="15"/>
      <x:c r="J212" s="15"/>
      <x:c r="K212" s="15"/>
      <x:c r="L212" s="17" t="str">
        <x:f>IF(M212="","",'参数'!$B$3+IF(ROW()=3,0,SUM($S$3:INDEX($S:$S,ROW()-1))))</x:f>
      </x:c>
      <x:c r="M212" s="17"/>
      <x:c r="N212" s="18"/>
      <x:c r="O212" s="19" t="str">
        <x:f>IF(OR(M212="",L212=""),"",M212/L212)</x:f>
      </x:c>
      <x:c r="P212" s="17" t="str">
        <x:f>IF(OR(M212="",N212=""),"",M212*N212)</x:f>
      </x:c>
      <x:c r="Q212" s="17"/>
      <x:c r="R212" s="17" t="str">
        <x:f>IF(OR(M212="",Q212="",Q212="未结算"),"",SWITCH(Q212,"赢",M212*N212,"输",0,"走水",M212,"取消",M212,"半赢",M212*(1+(N212-1)/2),"半输",M212*0.5,""))</x:f>
      </x:c>
      <x:c r="S212" s="17" t="str">
        <x:f>IF(R212="","",R212-M212)</x:f>
      </x:c>
      <x:c r="T212" s="19" t="str">
        <x:f>IF(OR(M212="",S212=""),"",S212/M212)</x:f>
      </x:c>
      <x:c r="U212" s="17" t="str">
        <x:f>IF(S212="","",'参数'!$B$3+SUM($S$3:S212))</x:f>
      </x:c>
      <x:c r="V212" s="15"/>
      <x:c r="W212" s="15"/>
      <x:c r="X212" s="15"/>
    </x:row>
    <x:row r="213" ht="25.5" customHeight="1">
      <x:c r="A213" s="15" t="str">
        <x:f>IF(D213="","",ROW()-2)</x:f>
      </x:c>
      <x:c r="B213" s="16"/>
      <x:c r="C213" s="15"/>
      <x:c r="D213" s="15"/>
      <x:c r="E213" s="16"/>
      <x:c r="F213" s="15"/>
      <x:c r="G213" s="15"/>
      <x:c r="H213" s="15"/>
      <x:c r="I213" s="15"/>
      <x:c r="J213" s="15"/>
      <x:c r="K213" s="15"/>
      <x:c r="L213" s="17" t="str">
        <x:f>IF(M213="","",'参数'!$B$3+IF(ROW()=3,0,SUM($S$3:INDEX($S:$S,ROW()-1))))</x:f>
      </x:c>
      <x:c r="M213" s="17"/>
      <x:c r="N213" s="18"/>
      <x:c r="O213" s="19" t="str">
        <x:f>IF(OR(M213="",L213=""),"",M213/L213)</x:f>
      </x:c>
      <x:c r="P213" s="17" t="str">
        <x:f>IF(OR(M213="",N213=""),"",M213*N213)</x:f>
      </x:c>
      <x:c r="Q213" s="17"/>
      <x:c r="R213" s="17" t="str">
        <x:f>IF(OR(M213="",Q213="",Q213="未结算"),"",SWITCH(Q213,"赢",M213*N213,"输",0,"走水",M213,"取消",M213,"半赢",M213*(1+(N213-1)/2),"半输",M213*0.5,""))</x:f>
      </x:c>
      <x:c r="S213" s="17" t="str">
        <x:f>IF(R213="","",R213-M213)</x:f>
      </x:c>
      <x:c r="T213" s="19" t="str">
        <x:f>IF(OR(M213="",S213=""),"",S213/M213)</x:f>
      </x:c>
      <x:c r="U213" s="17" t="str">
        <x:f>IF(S213="","",'参数'!$B$3+SUM($S$3:S213))</x:f>
      </x:c>
      <x:c r="V213" s="15"/>
      <x:c r="W213" s="15"/>
      <x:c r="X213" s="15"/>
    </x:row>
    <x:row r="214" ht="25.5" customHeight="1">
      <x:c r="A214" s="15" t="str">
        <x:f>IF(D214="","",ROW()-2)</x:f>
      </x:c>
      <x:c r="B214" s="16"/>
      <x:c r="C214" s="15"/>
      <x:c r="D214" s="15"/>
      <x:c r="E214" s="16"/>
      <x:c r="F214" s="15"/>
      <x:c r="G214" s="15"/>
      <x:c r="H214" s="15"/>
      <x:c r="I214" s="15"/>
      <x:c r="J214" s="15"/>
      <x:c r="K214" s="15"/>
      <x:c r="L214" s="17" t="str">
        <x:f>IF(M214="","",'参数'!$B$3+IF(ROW()=3,0,SUM($S$3:INDEX($S:$S,ROW()-1))))</x:f>
      </x:c>
      <x:c r="M214" s="17"/>
      <x:c r="N214" s="18"/>
      <x:c r="O214" s="19" t="str">
        <x:f>IF(OR(M214="",L214=""),"",M214/L214)</x:f>
      </x:c>
      <x:c r="P214" s="17" t="str">
        <x:f>IF(OR(M214="",N214=""),"",M214*N214)</x:f>
      </x:c>
      <x:c r="Q214" s="17"/>
      <x:c r="R214" s="17" t="str">
        <x:f>IF(OR(M214="",Q214="",Q214="未结算"),"",SWITCH(Q214,"赢",M214*N214,"输",0,"走水",M214,"取消",M214,"半赢",M214*(1+(N214-1)/2),"半输",M214*0.5,""))</x:f>
      </x:c>
      <x:c r="S214" s="17" t="str">
        <x:f>IF(R214="","",R214-M214)</x:f>
      </x:c>
      <x:c r="T214" s="19" t="str">
        <x:f>IF(OR(M214="",S214=""),"",S214/M214)</x:f>
      </x:c>
      <x:c r="U214" s="17" t="str">
        <x:f>IF(S214="","",'参数'!$B$3+SUM($S$3:S214))</x:f>
      </x:c>
      <x:c r="V214" s="15"/>
      <x:c r="W214" s="15"/>
      <x:c r="X214" s="15"/>
    </x:row>
    <x:row r="215" ht="25.5" customHeight="1">
      <x:c r="A215" s="15" t="str">
        <x:f>IF(D215="","",ROW()-2)</x:f>
      </x:c>
      <x:c r="B215" s="16"/>
      <x:c r="C215" s="15"/>
      <x:c r="D215" s="15"/>
      <x:c r="E215" s="16"/>
      <x:c r="F215" s="15"/>
      <x:c r="G215" s="15"/>
      <x:c r="H215" s="15"/>
      <x:c r="I215" s="15"/>
      <x:c r="J215" s="15"/>
      <x:c r="K215" s="15"/>
      <x:c r="L215" s="17" t="str">
        <x:f>IF(M215="","",'参数'!$B$3+IF(ROW()=3,0,SUM($S$3:INDEX($S:$S,ROW()-1))))</x:f>
      </x:c>
      <x:c r="M215" s="17"/>
      <x:c r="N215" s="18"/>
      <x:c r="O215" s="19" t="str">
        <x:f>IF(OR(M215="",L215=""),"",M215/L215)</x:f>
      </x:c>
      <x:c r="P215" s="17" t="str">
        <x:f>IF(OR(M215="",N215=""),"",M215*N215)</x:f>
      </x:c>
      <x:c r="Q215" s="17"/>
      <x:c r="R215" s="17" t="str">
        <x:f>IF(OR(M215="",Q215="",Q215="未结算"),"",SWITCH(Q215,"赢",M215*N215,"输",0,"走水",M215,"取消",M215,"半赢",M215*(1+(N215-1)/2),"半输",M215*0.5,""))</x:f>
      </x:c>
      <x:c r="S215" s="17" t="str">
        <x:f>IF(R215="","",R215-M215)</x:f>
      </x:c>
      <x:c r="T215" s="19" t="str">
        <x:f>IF(OR(M215="",S215=""),"",S215/M215)</x:f>
      </x:c>
      <x:c r="U215" s="17" t="str">
        <x:f>IF(S215="","",'参数'!$B$3+SUM($S$3:S215))</x:f>
      </x:c>
      <x:c r="V215" s="15"/>
      <x:c r="W215" s="15"/>
      <x:c r="X215" s="15"/>
    </x:row>
    <x:row r="216" ht="25.5" customHeight="1">
      <x:c r="A216" s="15" t="str">
        <x:f>IF(D216="","",ROW()-2)</x:f>
      </x:c>
      <x:c r="B216" s="16"/>
      <x:c r="C216" s="15"/>
      <x:c r="D216" s="15"/>
      <x:c r="E216" s="16"/>
      <x:c r="F216" s="15"/>
      <x:c r="G216" s="15"/>
      <x:c r="H216" s="15"/>
      <x:c r="I216" s="15"/>
      <x:c r="J216" s="15"/>
      <x:c r="K216" s="15"/>
      <x:c r="L216" s="17" t="str">
        <x:f>IF(M216="","",'参数'!$B$3+IF(ROW()=3,0,SUM($S$3:INDEX($S:$S,ROW()-1))))</x:f>
      </x:c>
      <x:c r="M216" s="17"/>
      <x:c r="N216" s="18"/>
      <x:c r="O216" s="19" t="str">
        <x:f>IF(OR(M216="",L216=""),"",M216/L216)</x:f>
      </x:c>
      <x:c r="P216" s="17" t="str">
        <x:f>IF(OR(M216="",N216=""),"",M216*N216)</x:f>
      </x:c>
      <x:c r="Q216" s="17"/>
      <x:c r="R216" s="17" t="str">
        <x:f>IF(OR(M216="",Q216="",Q216="未结算"),"",SWITCH(Q216,"赢",M216*N216,"输",0,"走水",M216,"取消",M216,"半赢",M216*(1+(N216-1)/2),"半输",M216*0.5,""))</x:f>
      </x:c>
      <x:c r="S216" s="17" t="str">
        <x:f>IF(R216="","",R216-M216)</x:f>
      </x:c>
      <x:c r="T216" s="19" t="str">
        <x:f>IF(OR(M216="",S216=""),"",S216/M216)</x:f>
      </x:c>
      <x:c r="U216" s="17" t="str">
        <x:f>IF(S216="","",'参数'!$B$3+SUM($S$3:S216))</x:f>
      </x:c>
      <x:c r="V216" s="15"/>
      <x:c r="W216" s="15"/>
      <x:c r="X216" s="15"/>
    </x:row>
    <x:row r="217" ht="25.5" customHeight="1">
      <x:c r="A217" s="15" t="str">
        <x:f>IF(D217="","",ROW()-2)</x:f>
      </x:c>
      <x:c r="B217" s="16"/>
      <x:c r="C217" s="15"/>
      <x:c r="D217" s="15"/>
      <x:c r="E217" s="16"/>
      <x:c r="F217" s="15"/>
      <x:c r="G217" s="15"/>
      <x:c r="H217" s="15"/>
      <x:c r="I217" s="15"/>
      <x:c r="J217" s="15"/>
      <x:c r="K217" s="15"/>
      <x:c r="L217" s="17" t="str">
        <x:f>IF(M217="","",'参数'!$B$3+IF(ROW()=3,0,SUM($S$3:INDEX($S:$S,ROW()-1))))</x:f>
      </x:c>
      <x:c r="M217" s="17"/>
      <x:c r="N217" s="18"/>
      <x:c r="O217" s="19" t="str">
        <x:f>IF(OR(M217="",L217=""),"",M217/L217)</x:f>
      </x:c>
      <x:c r="P217" s="17" t="str">
        <x:f>IF(OR(M217="",N217=""),"",M217*N217)</x:f>
      </x:c>
      <x:c r="Q217" s="17"/>
      <x:c r="R217" s="17" t="str">
        <x:f>IF(OR(M217="",Q217="",Q217="未结算"),"",SWITCH(Q217,"赢",M217*N217,"输",0,"走水",M217,"取消",M217,"半赢",M217*(1+(N217-1)/2),"半输",M217*0.5,""))</x:f>
      </x:c>
      <x:c r="S217" s="17" t="str">
        <x:f>IF(R217="","",R217-M217)</x:f>
      </x:c>
      <x:c r="T217" s="19" t="str">
        <x:f>IF(OR(M217="",S217=""),"",S217/M217)</x:f>
      </x:c>
      <x:c r="U217" s="17" t="str">
        <x:f>IF(S217="","",'参数'!$B$3+SUM($S$3:S217))</x:f>
      </x:c>
      <x:c r="V217" s="15"/>
      <x:c r="W217" s="15"/>
      <x:c r="X217" s="15"/>
    </x:row>
    <x:row r="218" ht="25.5" customHeight="1">
      <x:c r="A218" s="15" t="str">
        <x:f>IF(D218="","",ROW()-2)</x:f>
      </x:c>
      <x:c r="B218" s="16"/>
      <x:c r="C218" s="15"/>
      <x:c r="D218" s="15"/>
      <x:c r="E218" s="16"/>
      <x:c r="F218" s="15"/>
      <x:c r="G218" s="15"/>
      <x:c r="H218" s="15"/>
      <x:c r="I218" s="15"/>
      <x:c r="J218" s="15"/>
      <x:c r="K218" s="15"/>
      <x:c r="L218" s="17" t="str">
        <x:f>IF(M218="","",'参数'!$B$3+IF(ROW()=3,0,SUM($S$3:INDEX($S:$S,ROW()-1))))</x:f>
      </x:c>
      <x:c r="M218" s="17"/>
      <x:c r="N218" s="18"/>
      <x:c r="O218" s="19" t="str">
        <x:f>IF(OR(M218="",L218=""),"",M218/L218)</x:f>
      </x:c>
      <x:c r="P218" s="17" t="str">
        <x:f>IF(OR(M218="",N218=""),"",M218*N218)</x:f>
      </x:c>
      <x:c r="Q218" s="17"/>
      <x:c r="R218" s="17" t="str">
        <x:f>IF(OR(M218="",Q218="",Q218="未结算"),"",SWITCH(Q218,"赢",M218*N218,"输",0,"走水",M218,"取消",M218,"半赢",M218*(1+(N218-1)/2),"半输",M218*0.5,""))</x:f>
      </x:c>
      <x:c r="S218" s="17" t="str">
        <x:f>IF(R218="","",R218-M218)</x:f>
      </x:c>
      <x:c r="T218" s="19" t="str">
        <x:f>IF(OR(M218="",S218=""),"",S218/M218)</x:f>
      </x:c>
      <x:c r="U218" s="17" t="str">
        <x:f>IF(S218="","",'参数'!$B$3+SUM($S$3:S218))</x:f>
      </x:c>
      <x:c r="V218" s="15"/>
      <x:c r="W218" s="15"/>
      <x:c r="X218" s="15"/>
    </x:row>
    <x:row r="219" ht="25.5" customHeight="1">
      <x:c r="A219" s="15" t="str">
        <x:f>IF(D219="","",ROW()-2)</x:f>
      </x:c>
      <x:c r="B219" s="16"/>
      <x:c r="C219" s="15"/>
      <x:c r="D219" s="15"/>
      <x:c r="E219" s="16"/>
      <x:c r="F219" s="15"/>
      <x:c r="G219" s="15"/>
      <x:c r="H219" s="15"/>
      <x:c r="I219" s="15"/>
      <x:c r="J219" s="15"/>
      <x:c r="K219" s="15"/>
      <x:c r="L219" s="17" t="str">
        <x:f>IF(M219="","",'参数'!$B$3+IF(ROW()=3,0,SUM($S$3:INDEX($S:$S,ROW()-1))))</x:f>
      </x:c>
      <x:c r="M219" s="17"/>
      <x:c r="N219" s="18"/>
      <x:c r="O219" s="19" t="str">
        <x:f>IF(OR(M219="",L219=""),"",M219/L219)</x:f>
      </x:c>
      <x:c r="P219" s="17" t="str">
        <x:f>IF(OR(M219="",N219=""),"",M219*N219)</x:f>
      </x:c>
      <x:c r="Q219" s="17"/>
      <x:c r="R219" s="17" t="str">
        <x:f>IF(OR(M219="",Q219="",Q219="未结算"),"",SWITCH(Q219,"赢",M219*N219,"输",0,"走水",M219,"取消",M219,"半赢",M219*(1+(N219-1)/2),"半输",M219*0.5,""))</x:f>
      </x:c>
      <x:c r="S219" s="17" t="str">
        <x:f>IF(R219="","",R219-M219)</x:f>
      </x:c>
      <x:c r="T219" s="19" t="str">
        <x:f>IF(OR(M219="",S219=""),"",S219/M219)</x:f>
      </x:c>
      <x:c r="U219" s="17" t="str">
        <x:f>IF(S219="","",'参数'!$B$3+SUM($S$3:S219))</x:f>
      </x:c>
      <x:c r="V219" s="15"/>
      <x:c r="W219" s="15"/>
      <x:c r="X219" s="15"/>
    </x:row>
    <x:row r="220" ht="25.5" customHeight="1">
      <x:c r="A220" s="15" t="str">
        <x:f>IF(D220="","",ROW()-2)</x:f>
      </x:c>
      <x:c r="B220" s="16"/>
      <x:c r="C220" s="15"/>
      <x:c r="D220" s="15"/>
      <x:c r="E220" s="16"/>
      <x:c r="F220" s="15"/>
      <x:c r="G220" s="15"/>
      <x:c r="H220" s="15"/>
      <x:c r="I220" s="15"/>
      <x:c r="J220" s="15"/>
      <x:c r="K220" s="15"/>
      <x:c r="L220" s="17" t="str">
        <x:f>IF(M220="","",'参数'!$B$3+IF(ROW()=3,0,SUM($S$3:INDEX($S:$S,ROW()-1))))</x:f>
      </x:c>
      <x:c r="M220" s="17"/>
      <x:c r="N220" s="18"/>
      <x:c r="O220" s="19" t="str">
        <x:f>IF(OR(M220="",L220=""),"",M220/L220)</x:f>
      </x:c>
      <x:c r="P220" s="17" t="str">
        <x:f>IF(OR(M220="",N220=""),"",M220*N220)</x:f>
      </x:c>
      <x:c r="Q220" s="17"/>
      <x:c r="R220" s="17" t="str">
        <x:f>IF(OR(M220="",Q220="",Q220="未结算"),"",SWITCH(Q220,"赢",M220*N220,"输",0,"走水",M220,"取消",M220,"半赢",M220*(1+(N220-1)/2),"半输",M220*0.5,""))</x:f>
      </x:c>
      <x:c r="S220" s="17" t="str">
        <x:f>IF(R220="","",R220-M220)</x:f>
      </x:c>
      <x:c r="T220" s="19" t="str">
        <x:f>IF(OR(M220="",S220=""),"",S220/M220)</x:f>
      </x:c>
      <x:c r="U220" s="17" t="str">
        <x:f>IF(S220="","",'参数'!$B$3+SUM($S$3:S220))</x:f>
      </x:c>
      <x:c r="V220" s="15"/>
      <x:c r="W220" s="15"/>
      <x:c r="X220" s="15"/>
    </x:row>
    <x:row r="221" ht="25.5" customHeight="1">
      <x:c r="A221" s="15" t="str">
        <x:f>IF(D221="","",ROW()-2)</x:f>
      </x:c>
      <x:c r="B221" s="16"/>
      <x:c r="C221" s="15"/>
      <x:c r="D221" s="15"/>
      <x:c r="E221" s="16"/>
      <x:c r="F221" s="15"/>
      <x:c r="G221" s="15"/>
      <x:c r="H221" s="15"/>
      <x:c r="I221" s="15"/>
      <x:c r="J221" s="15"/>
      <x:c r="K221" s="15"/>
      <x:c r="L221" s="17" t="str">
        <x:f>IF(M221="","",'参数'!$B$3+IF(ROW()=3,0,SUM($S$3:INDEX($S:$S,ROW()-1))))</x:f>
      </x:c>
      <x:c r="M221" s="17"/>
      <x:c r="N221" s="18"/>
      <x:c r="O221" s="19" t="str">
        <x:f>IF(OR(M221="",L221=""),"",M221/L221)</x:f>
      </x:c>
      <x:c r="P221" s="17" t="str">
        <x:f>IF(OR(M221="",N221=""),"",M221*N221)</x:f>
      </x:c>
      <x:c r="Q221" s="17"/>
      <x:c r="R221" s="17" t="str">
        <x:f>IF(OR(M221="",Q221="",Q221="未结算"),"",SWITCH(Q221,"赢",M221*N221,"输",0,"走水",M221,"取消",M221,"半赢",M221*(1+(N221-1)/2),"半输",M221*0.5,""))</x:f>
      </x:c>
      <x:c r="S221" s="17" t="str">
        <x:f>IF(R221="","",R221-M221)</x:f>
      </x:c>
      <x:c r="T221" s="19" t="str">
        <x:f>IF(OR(M221="",S221=""),"",S221/M221)</x:f>
      </x:c>
      <x:c r="U221" s="17" t="str">
        <x:f>IF(S221="","",'参数'!$B$3+SUM($S$3:S221))</x:f>
      </x:c>
      <x:c r="V221" s="15"/>
      <x:c r="W221" s="15"/>
      <x:c r="X221" s="15"/>
    </x:row>
    <x:row r="222" ht="25.5" customHeight="1">
      <x:c r="A222" s="15" t="str">
        <x:f>IF(D222="","",ROW()-2)</x:f>
      </x:c>
      <x:c r="B222" s="16"/>
      <x:c r="C222" s="15"/>
      <x:c r="D222" s="15"/>
      <x:c r="E222" s="16"/>
      <x:c r="F222" s="15"/>
      <x:c r="G222" s="15"/>
      <x:c r="H222" s="15"/>
      <x:c r="I222" s="15"/>
      <x:c r="J222" s="15"/>
      <x:c r="K222" s="15"/>
      <x:c r="L222" s="17" t="str">
        <x:f>IF(M222="","",'参数'!$B$3+IF(ROW()=3,0,SUM($S$3:INDEX($S:$S,ROW()-1))))</x:f>
      </x:c>
      <x:c r="M222" s="17"/>
      <x:c r="N222" s="18"/>
      <x:c r="O222" s="19" t="str">
        <x:f>IF(OR(M222="",L222=""),"",M222/L222)</x:f>
      </x:c>
      <x:c r="P222" s="17" t="str">
        <x:f>IF(OR(M222="",N222=""),"",M222*N222)</x:f>
      </x:c>
      <x:c r="Q222" s="17"/>
      <x:c r="R222" s="17" t="str">
        <x:f>IF(OR(M222="",Q222="",Q222="未结算"),"",SWITCH(Q222,"赢",M222*N222,"输",0,"走水",M222,"取消",M222,"半赢",M222*(1+(N222-1)/2),"半输",M222*0.5,""))</x:f>
      </x:c>
      <x:c r="S222" s="17" t="str">
        <x:f>IF(R222="","",R222-M222)</x:f>
      </x:c>
      <x:c r="T222" s="19" t="str">
        <x:f>IF(OR(M222="",S222=""),"",S222/M222)</x:f>
      </x:c>
      <x:c r="U222" s="17" t="str">
        <x:f>IF(S222="","",'参数'!$B$3+SUM($S$3:S222))</x:f>
      </x:c>
      <x:c r="V222" s="15"/>
      <x:c r="W222" s="15"/>
      <x:c r="X222" s="15"/>
    </x:row>
    <x:row r="223" ht="25.5" customHeight="1">
      <x:c r="A223" s="15" t="str">
        <x:f>IF(D223="","",ROW()-2)</x:f>
      </x:c>
      <x:c r="B223" s="16"/>
      <x:c r="C223" s="15"/>
      <x:c r="D223" s="15"/>
      <x:c r="E223" s="16"/>
      <x:c r="F223" s="15"/>
      <x:c r="G223" s="15"/>
      <x:c r="H223" s="15"/>
      <x:c r="I223" s="15"/>
      <x:c r="J223" s="15"/>
      <x:c r="K223" s="15"/>
      <x:c r="L223" s="17" t="str">
        <x:f>IF(M223="","",'参数'!$B$3+IF(ROW()=3,0,SUM($S$3:INDEX($S:$S,ROW()-1))))</x:f>
      </x:c>
      <x:c r="M223" s="17"/>
      <x:c r="N223" s="18"/>
      <x:c r="O223" s="19" t="str">
        <x:f>IF(OR(M223="",L223=""),"",M223/L223)</x:f>
      </x:c>
      <x:c r="P223" s="17" t="str">
        <x:f>IF(OR(M223="",N223=""),"",M223*N223)</x:f>
      </x:c>
      <x:c r="Q223" s="17"/>
      <x:c r="R223" s="17" t="str">
        <x:f>IF(OR(M223="",Q223="",Q223="未结算"),"",SWITCH(Q223,"赢",M223*N223,"输",0,"走水",M223,"取消",M223,"半赢",M223*(1+(N223-1)/2),"半输",M223*0.5,""))</x:f>
      </x:c>
      <x:c r="S223" s="17" t="str">
        <x:f>IF(R223="","",R223-M223)</x:f>
      </x:c>
      <x:c r="T223" s="19" t="str">
        <x:f>IF(OR(M223="",S223=""),"",S223/M223)</x:f>
      </x:c>
      <x:c r="U223" s="17" t="str">
        <x:f>IF(S223="","",'参数'!$B$3+SUM($S$3:S223))</x:f>
      </x:c>
      <x:c r="V223" s="15"/>
      <x:c r="W223" s="15"/>
      <x:c r="X223" s="15"/>
    </x:row>
    <x:row r="224" ht="25.5" customHeight="1">
      <x:c r="A224" s="15" t="str">
        <x:f>IF(D224="","",ROW()-2)</x:f>
      </x:c>
      <x:c r="B224" s="16"/>
      <x:c r="C224" s="15"/>
      <x:c r="D224" s="15"/>
      <x:c r="E224" s="16"/>
      <x:c r="F224" s="15"/>
      <x:c r="G224" s="15"/>
      <x:c r="H224" s="15"/>
      <x:c r="I224" s="15"/>
      <x:c r="J224" s="15"/>
      <x:c r="K224" s="15"/>
      <x:c r="L224" s="17" t="str">
        <x:f>IF(M224="","",'参数'!$B$3+IF(ROW()=3,0,SUM($S$3:INDEX($S:$S,ROW()-1))))</x:f>
      </x:c>
      <x:c r="M224" s="17"/>
      <x:c r="N224" s="18"/>
      <x:c r="O224" s="19" t="str">
        <x:f>IF(OR(M224="",L224=""),"",M224/L224)</x:f>
      </x:c>
      <x:c r="P224" s="17" t="str">
        <x:f>IF(OR(M224="",N224=""),"",M224*N224)</x:f>
      </x:c>
      <x:c r="Q224" s="17"/>
      <x:c r="R224" s="17" t="str">
        <x:f>IF(OR(M224="",Q224="",Q224="未结算"),"",SWITCH(Q224,"赢",M224*N224,"输",0,"走水",M224,"取消",M224,"半赢",M224*(1+(N224-1)/2),"半输",M224*0.5,""))</x:f>
      </x:c>
      <x:c r="S224" s="17" t="str">
        <x:f>IF(R224="","",R224-M224)</x:f>
      </x:c>
      <x:c r="T224" s="19" t="str">
        <x:f>IF(OR(M224="",S224=""),"",S224/M224)</x:f>
      </x:c>
      <x:c r="U224" s="17" t="str">
        <x:f>IF(S224="","",'参数'!$B$3+SUM($S$3:S224))</x:f>
      </x:c>
      <x:c r="V224" s="15"/>
      <x:c r="W224" s="15"/>
      <x:c r="X224" s="15"/>
    </x:row>
    <x:row r="225" ht="25.5" customHeight="1">
      <x:c r="A225" s="15" t="str">
        <x:f>IF(D225="","",ROW()-2)</x:f>
      </x:c>
      <x:c r="B225" s="16"/>
      <x:c r="C225" s="15"/>
      <x:c r="D225" s="15"/>
      <x:c r="E225" s="16"/>
      <x:c r="F225" s="15"/>
      <x:c r="G225" s="15"/>
      <x:c r="H225" s="15"/>
      <x:c r="I225" s="15"/>
      <x:c r="J225" s="15"/>
      <x:c r="K225" s="15"/>
      <x:c r="L225" s="17" t="str">
        <x:f>IF(M225="","",'参数'!$B$3+IF(ROW()=3,0,SUM($S$3:INDEX($S:$S,ROW()-1))))</x:f>
      </x:c>
      <x:c r="M225" s="17"/>
      <x:c r="N225" s="18"/>
      <x:c r="O225" s="19" t="str">
        <x:f>IF(OR(M225="",L225=""),"",M225/L225)</x:f>
      </x:c>
      <x:c r="P225" s="17" t="str">
        <x:f>IF(OR(M225="",N225=""),"",M225*N225)</x:f>
      </x:c>
      <x:c r="Q225" s="17"/>
      <x:c r="R225" s="17" t="str">
        <x:f>IF(OR(M225="",Q225="",Q225="未结算"),"",SWITCH(Q225,"赢",M225*N225,"输",0,"走水",M225,"取消",M225,"半赢",M225*(1+(N225-1)/2),"半输",M225*0.5,""))</x:f>
      </x:c>
      <x:c r="S225" s="17" t="str">
        <x:f>IF(R225="","",R225-M225)</x:f>
      </x:c>
      <x:c r="T225" s="19" t="str">
        <x:f>IF(OR(M225="",S225=""),"",S225/M225)</x:f>
      </x:c>
      <x:c r="U225" s="17" t="str">
        <x:f>IF(S225="","",'参数'!$B$3+SUM($S$3:S225))</x:f>
      </x:c>
      <x:c r="V225" s="15"/>
      <x:c r="W225" s="15"/>
      <x:c r="X225" s="15"/>
    </x:row>
    <x:row r="226" ht="25.5" customHeight="1">
      <x:c r="A226" s="15" t="str">
        <x:f>IF(D226="","",ROW()-2)</x:f>
      </x:c>
      <x:c r="B226" s="16"/>
      <x:c r="C226" s="15"/>
      <x:c r="D226" s="15"/>
      <x:c r="E226" s="16"/>
      <x:c r="F226" s="15"/>
      <x:c r="G226" s="15"/>
      <x:c r="H226" s="15"/>
      <x:c r="I226" s="15"/>
      <x:c r="J226" s="15"/>
      <x:c r="K226" s="15"/>
      <x:c r="L226" s="17" t="str">
        <x:f>IF(M226="","",'参数'!$B$3+IF(ROW()=3,0,SUM($S$3:INDEX($S:$S,ROW()-1))))</x:f>
      </x:c>
      <x:c r="M226" s="17"/>
      <x:c r="N226" s="18"/>
      <x:c r="O226" s="19" t="str">
        <x:f>IF(OR(M226="",L226=""),"",M226/L226)</x:f>
      </x:c>
      <x:c r="P226" s="17" t="str">
        <x:f>IF(OR(M226="",N226=""),"",M226*N226)</x:f>
      </x:c>
      <x:c r="Q226" s="17"/>
      <x:c r="R226" s="17" t="str">
        <x:f>IF(OR(M226="",Q226="",Q226="未结算"),"",SWITCH(Q226,"赢",M226*N226,"输",0,"走水",M226,"取消",M226,"半赢",M226*(1+(N226-1)/2),"半输",M226*0.5,""))</x:f>
      </x:c>
      <x:c r="S226" s="17" t="str">
        <x:f>IF(R226="","",R226-M226)</x:f>
      </x:c>
      <x:c r="T226" s="19" t="str">
        <x:f>IF(OR(M226="",S226=""),"",S226/M226)</x:f>
      </x:c>
      <x:c r="U226" s="17" t="str">
        <x:f>IF(S226="","",'参数'!$B$3+SUM($S$3:S226))</x:f>
      </x:c>
      <x:c r="V226" s="15"/>
      <x:c r="W226" s="15"/>
      <x:c r="X226" s="15"/>
    </x:row>
    <x:row r="227" ht="25.5" customHeight="1">
      <x:c r="A227" s="15" t="str">
        <x:f>IF(D227="","",ROW()-2)</x:f>
      </x:c>
      <x:c r="B227" s="16"/>
      <x:c r="C227" s="15"/>
      <x:c r="D227" s="15"/>
      <x:c r="E227" s="16"/>
      <x:c r="F227" s="15"/>
      <x:c r="G227" s="15"/>
      <x:c r="H227" s="15"/>
      <x:c r="I227" s="15"/>
      <x:c r="J227" s="15"/>
      <x:c r="K227" s="15"/>
      <x:c r="L227" s="17" t="str">
        <x:f>IF(M227="","",'参数'!$B$3+IF(ROW()=3,0,SUM($S$3:INDEX($S:$S,ROW()-1))))</x:f>
      </x:c>
      <x:c r="M227" s="17"/>
      <x:c r="N227" s="18"/>
      <x:c r="O227" s="19" t="str">
        <x:f>IF(OR(M227="",L227=""),"",M227/L227)</x:f>
      </x:c>
      <x:c r="P227" s="17" t="str">
        <x:f>IF(OR(M227="",N227=""),"",M227*N227)</x:f>
      </x:c>
      <x:c r="Q227" s="17"/>
      <x:c r="R227" s="17" t="str">
        <x:f>IF(OR(M227="",Q227="",Q227="未结算"),"",SWITCH(Q227,"赢",M227*N227,"输",0,"走水",M227,"取消",M227,"半赢",M227*(1+(N227-1)/2),"半输",M227*0.5,""))</x:f>
      </x:c>
      <x:c r="S227" s="17" t="str">
        <x:f>IF(R227="","",R227-M227)</x:f>
      </x:c>
      <x:c r="T227" s="19" t="str">
        <x:f>IF(OR(M227="",S227=""),"",S227/M227)</x:f>
      </x:c>
      <x:c r="U227" s="17" t="str">
        <x:f>IF(S227="","",'参数'!$B$3+SUM($S$3:S227))</x:f>
      </x:c>
      <x:c r="V227" s="15"/>
      <x:c r="W227" s="15"/>
      <x:c r="X227" s="15"/>
    </x:row>
    <x:row r="228" ht="25.5" customHeight="1">
      <x:c r="A228" s="15" t="str">
        <x:f>IF(D228="","",ROW()-2)</x:f>
      </x:c>
      <x:c r="B228" s="16"/>
      <x:c r="C228" s="15"/>
      <x:c r="D228" s="15"/>
      <x:c r="E228" s="16"/>
      <x:c r="F228" s="15"/>
      <x:c r="G228" s="15"/>
      <x:c r="H228" s="15"/>
      <x:c r="I228" s="15"/>
      <x:c r="J228" s="15"/>
      <x:c r="K228" s="15"/>
      <x:c r="L228" s="17" t="str">
        <x:f>IF(M228="","",'参数'!$B$3+IF(ROW()=3,0,SUM($S$3:INDEX($S:$S,ROW()-1))))</x:f>
      </x:c>
      <x:c r="M228" s="17"/>
      <x:c r="N228" s="18"/>
      <x:c r="O228" s="19" t="str">
        <x:f>IF(OR(M228="",L228=""),"",M228/L228)</x:f>
      </x:c>
      <x:c r="P228" s="17" t="str">
        <x:f>IF(OR(M228="",N228=""),"",M228*N228)</x:f>
      </x:c>
      <x:c r="Q228" s="17"/>
      <x:c r="R228" s="17" t="str">
        <x:f>IF(OR(M228="",Q228="",Q228="未结算"),"",SWITCH(Q228,"赢",M228*N228,"输",0,"走水",M228,"取消",M228,"半赢",M228*(1+(N228-1)/2),"半输",M228*0.5,""))</x:f>
      </x:c>
      <x:c r="S228" s="17" t="str">
        <x:f>IF(R228="","",R228-M228)</x:f>
      </x:c>
      <x:c r="T228" s="19" t="str">
        <x:f>IF(OR(M228="",S228=""),"",S228/M228)</x:f>
      </x:c>
      <x:c r="U228" s="17" t="str">
        <x:f>IF(S228="","",'参数'!$B$3+SUM($S$3:S228))</x:f>
      </x:c>
      <x:c r="V228" s="15"/>
      <x:c r="W228" s="15"/>
      <x:c r="X228" s="15"/>
    </x:row>
    <x:row r="229" ht="25.5" customHeight="1">
      <x:c r="A229" s="15" t="str">
        <x:f>IF(D229="","",ROW()-2)</x:f>
      </x:c>
      <x:c r="B229" s="16"/>
      <x:c r="C229" s="15"/>
      <x:c r="D229" s="15"/>
      <x:c r="E229" s="16"/>
      <x:c r="F229" s="15"/>
      <x:c r="G229" s="15"/>
      <x:c r="H229" s="15"/>
      <x:c r="I229" s="15"/>
      <x:c r="J229" s="15"/>
      <x:c r="K229" s="15"/>
      <x:c r="L229" s="17" t="str">
        <x:f>IF(M229="","",'参数'!$B$3+IF(ROW()=3,0,SUM($S$3:INDEX($S:$S,ROW()-1))))</x:f>
      </x:c>
      <x:c r="M229" s="17"/>
      <x:c r="N229" s="18"/>
      <x:c r="O229" s="19" t="str">
        <x:f>IF(OR(M229="",L229=""),"",M229/L229)</x:f>
      </x:c>
      <x:c r="P229" s="17" t="str">
        <x:f>IF(OR(M229="",N229=""),"",M229*N229)</x:f>
      </x:c>
      <x:c r="Q229" s="17"/>
      <x:c r="R229" s="17" t="str">
        <x:f>IF(OR(M229="",Q229="",Q229="未结算"),"",SWITCH(Q229,"赢",M229*N229,"输",0,"走水",M229,"取消",M229,"半赢",M229*(1+(N229-1)/2),"半输",M229*0.5,""))</x:f>
      </x:c>
      <x:c r="S229" s="17" t="str">
        <x:f>IF(R229="","",R229-M229)</x:f>
      </x:c>
      <x:c r="T229" s="19" t="str">
        <x:f>IF(OR(M229="",S229=""),"",S229/M229)</x:f>
      </x:c>
      <x:c r="U229" s="17" t="str">
        <x:f>IF(S229="","",'参数'!$B$3+SUM($S$3:S229))</x:f>
      </x:c>
      <x:c r="V229" s="15"/>
      <x:c r="W229" s="15"/>
      <x:c r="X229" s="15"/>
    </x:row>
    <x:row r="230" ht="25.5" customHeight="1">
      <x:c r="A230" s="15" t="str">
        <x:f>IF(D230="","",ROW()-2)</x:f>
      </x:c>
      <x:c r="B230" s="16"/>
      <x:c r="C230" s="15"/>
      <x:c r="D230" s="15"/>
      <x:c r="E230" s="16"/>
      <x:c r="F230" s="15"/>
      <x:c r="G230" s="15"/>
      <x:c r="H230" s="15"/>
      <x:c r="I230" s="15"/>
      <x:c r="J230" s="15"/>
      <x:c r="K230" s="15"/>
      <x:c r="L230" s="17" t="str">
        <x:f>IF(M230="","",'参数'!$B$3+IF(ROW()=3,0,SUM($S$3:INDEX($S:$S,ROW()-1))))</x:f>
      </x:c>
      <x:c r="M230" s="17"/>
      <x:c r="N230" s="18"/>
      <x:c r="O230" s="19" t="str">
        <x:f>IF(OR(M230="",L230=""),"",M230/L230)</x:f>
      </x:c>
      <x:c r="P230" s="17" t="str">
        <x:f>IF(OR(M230="",N230=""),"",M230*N230)</x:f>
      </x:c>
      <x:c r="Q230" s="17"/>
      <x:c r="R230" s="17" t="str">
        <x:f>IF(OR(M230="",Q230="",Q230="未结算"),"",SWITCH(Q230,"赢",M230*N230,"输",0,"走水",M230,"取消",M230,"半赢",M230*(1+(N230-1)/2),"半输",M230*0.5,""))</x:f>
      </x:c>
      <x:c r="S230" s="17" t="str">
        <x:f>IF(R230="","",R230-M230)</x:f>
      </x:c>
      <x:c r="T230" s="19" t="str">
        <x:f>IF(OR(M230="",S230=""),"",S230/M230)</x:f>
      </x:c>
      <x:c r="U230" s="17" t="str">
        <x:f>IF(S230="","",'参数'!$B$3+SUM($S$3:S230))</x:f>
      </x:c>
      <x:c r="V230" s="15"/>
      <x:c r="W230" s="15"/>
      <x:c r="X230" s="15"/>
    </x:row>
    <x:row r="231" ht="25.5" customHeight="1">
      <x:c r="A231" s="15" t="str">
        <x:f>IF(D231="","",ROW()-2)</x:f>
      </x:c>
      <x:c r="B231" s="16"/>
      <x:c r="C231" s="15"/>
      <x:c r="D231" s="15"/>
      <x:c r="E231" s="16"/>
      <x:c r="F231" s="15"/>
      <x:c r="G231" s="15"/>
      <x:c r="H231" s="15"/>
      <x:c r="I231" s="15"/>
      <x:c r="J231" s="15"/>
      <x:c r="K231" s="15"/>
      <x:c r="L231" s="17" t="str">
        <x:f>IF(M231="","",'参数'!$B$3+IF(ROW()=3,0,SUM($S$3:INDEX($S:$S,ROW()-1))))</x:f>
      </x:c>
      <x:c r="M231" s="17"/>
      <x:c r="N231" s="18"/>
      <x:c r="O231" s="19" t="str">
        <x:f>IF(OR(M231="",L231=""),"",M231/L231)</x:f>
      </x:c>
      <x:c r="P231" s="17" t="str">
        <x:f>IF(OR(M231="",N231=""),"",M231*N231)</x:f>
      </x:c>
      <x:c r="Q231" s="17"/>
      <x:c r="R231" s="17" t="str">
        <x:f>IF(OR(M231="",Q231="",Q231="未结算"),"",SWITCH(Q231,"赢",M231*N231,"输",0,"走水",M231,"取消",M231,"半赢",M231*(1+(N231-1)/2),"半输",M231*0.5,""))</x:f>
      </x:c>
      <x:c r="S231" s="17" t="str">
        <x:f>IF(R231="","",R231-M231)</x:f>
      </x:c>
      <x:c r="T231" s="19" t="str">
        <x:f>IF(OR(M231="",S231=""),"",S231/M231)</x:f>
      </x:c>
      <x:c r="U231" s="17" t="str">
        <x:f>IF(S231="","",'参数'!$B$3+SUM($S$3:S231))</x:f>
      </x:c>
      <x:c r="V231" s="15"/>
      <x:c r="W231" s="15"/>
      <x:c r="X231" s="15"/>
    </x:row>
    <x:row r="232" ht="25.5" customHeight="1">
      <x:c r="A232" s="15" t="str">
        <x:f>IF(D232="","",ROW()-2)</x:f>
      </x:c>
      <x:c r="B232" s="16"/>
      <x:c r="C232" s="15"/>
      <x:c r="D232" s="15"/>
      <x:c r="E232" s="16"/>
      <x:c r="F232" s="15"/>
      <x:c r="G232" s="15"/>
      <x:c r="H232" s="15"/>
      <x:c r="I232" s="15"/>
      <x:c r="J232" s="15"/>
      <x:c r="K232" s="15"/>
      <x:c r="L232" s="17" t="str">
        <x:f>IF(M232="","",'参数'!$B$3+IF(ROW()=3,0,SUM($S$3:INDEX($S:$S,ROW()-1))))</x:f>
      </x:c>
      <x:c r="M232" s="17"/>
      <x:c r="N232" s="18"/>
      <x:c r="O232" s="19" t="str">
        <x:f>IF(OR(M232="",L232=""),"",M232/L232)</x:f>
      </x:c>
      <x:c r="P232" s="17" t="str">
        <x:f>IF(OR(M232="",N232=""),"",M232*N232)</x:f>
      </x:c>
      <x:c r="Q232" s="17"/>
      <x:c r="R232" s="17" t="str">
        <x:f>IF(OR(M232="",Q232="",Q232="未结算"),"",SWITCH(Q232,"赢",M232*N232,"输",0,"走水",M232,"取消",M232,"半赢",M232*(1+(N232-1)/2),"半输",M232*0.5,""))</x:f>
      </x:c>
      <x:c r="S232" s="17" t="str">
        <x:f>IF(R232="","",R232-M232)</x:f>
      </x:c>
      <x:c r="T232" s="19" t="str">
        <x:f>IF(OR(M232="",S232=""),"",S232/M232)</x:f>
      </x:c>
      <x:c r="U232" s="17" t="str">
        <x:f>IF(S232="","",'参数'!$B$3+SUM($S$3:S232))</x:f>
      </x:c>
      <x:c r="V232" s="15"/>
      <x:c r="W232" s="15"/>
      <x:c r="X232" s="15"/>
    </x:row>
    <x:row r="233" ht="25.5" customHeight="1">
      <x:c r="A233" s="15" t="str">
        <x:f>IF(D233="","",ROW()-2)</x:f>
      </x:c>
      <x:c r="B233" s="16"/>
      <x:c r="C233" s="15"/>
      <x:c r="D233" s="15"/>
      <x:c r="E233" s="16"/>
      <x:c r="F233" s="15"/>
      <x:c r="G233" s="15"/>
      <x:c r="H233" s="15"/>
      <x:c r="I233" s="15"/>
      <x:c r="J233" s="15"/>
      <x:c r="K233" s="15"/>
      <x:c r="L233" s="17" t="str">
        <x:f>IF(M233="","",'参数'!$B$3+IF(ROW()=3,0,SUM($S$3:INDEX($S:$S,ROW()-1))))</x:f>
      </x:c>
      <x:c r="M233" s="17"/>
      <x:c r="N233" s="18"/>
      <x:c r="O233" s="19" t="str">
        <x:f>IF(OR(M233="",L233=""),"",M233/L233)</x:f>
      </x:c>
      <x:c r="P233" s="17" t="str">
        <x:f>IF(OR(M233="",N233=""),"",M233*N233)</x:f>
      </x:c>
      <x:c r="Q233" s="17"/>
      <x:c r="R233" s="17" t="str">
        <x:f>IF(OR(M233="",Q233="",Q233="未结算"),"",SWITCH(Q233,"赢",M233*N233,"输",0,"走水",M233,"取消",M233,"半赢",M233*(1+(N233-1)/2),"半输",M233*0.5,""))</x:f>
      </x:c>
      <x:c r="S233" s="17" t="str">
        <x:f>IF(R233="","",R233-M233)</x:f>
      </x:c>
      <x:c r="T233" s="19" t="str">
        <x:f>IF(OR(M233="",S233=""),"",S233/M233)</x:f>
      </x:c>
      <x:c r="U233" s="17" t="str">
        <x:f>IF(S233="","",'参数'!$B$3+SUM($S$3:S233))</x:f>
      </x:c>
      <x:c r="V233" s="15"/>
      <x:c r="W233" s="15"/>
      <x:c r="X233" s="15"/>
    </x:row>
    <x:row r="234" ht="25.5" customHeight="1">
      <x:c r="A234" s="15" t="str">
        <x:f>IF(D234="","",ROW()-2)</x:f>
      </x:c>
      <x:c r="B234" s="16"/>
      <x:c r="C234" s="15"/>
      <x:c r="D234" s="15"/>
      <x:c r="E234" s="16"/>
      <x:c r="F234" s="15"/>
      <x:c r="G234" s="15"/>
      <x:c r="H234" s="15"/>
      <x:c r="I234" s="15"/>
      <x:c r="J234" s="15"/>
      <x:c r="K234" s="15"/>
      <x:c r="L234" s="17" t="str">
        <x:f>IF(M234="","",'参数'!$B$3+IF(ROW()=3,0,SUM($S$3:INDEX($S:$S,ROW()-1))))</x:f>
      </x:c>
      <x:c r="M234" s="17"/>
      <x:c r="N234" s="18"/>
      <x:c r="O234" s="19" t="str">
        <x:f>IF(OR(M234="",L234=""),"",M234/L234)</x:f>
      </x:c>
      <x:c r="P234" s="17" t="str">
        <x:f>IF(OR(M234="",N234=""),"",M234*N234)</x:f>
      </x:c>
      <x:c r="Q234" s="17"/>
      <x:c r="R234" s="17" t="str">
        <x:f>IF(OR(M234="",Q234="",Q234="未结算"),"",SWITCH(Q234,"赢",M234*N234,"输",0,"走水",M234,"取消",M234,"半赢",M234*(1+(N234-1)/2),"半输",M234*0.5,""))</x:f>
      </x:c>
      <x:c r="S234" s="17" t="str">
        <x:f>IF(R234="","",R234-M234)</x:f>
      </x:c>
      <x:c r="T234" s="19" t="str">
        <x:f>IF(OR(M234="",S234=""),"",S234/M234)</x:f>
      </x:c>
      <x:c r="U234" s="17" t="str">
        <x:f>IF(S234="","",'参数'!$B$3+SUM($S$3:S234))</x:f>
      </x:c>
      <x:c r="V234" s="15"/>
      <x:c r="W234" s="15"/>
      <x:c r="X234" s="15"/>
    </x:row>
    <x:row r="235" ht="25.5" customHeight="1">
      <x:c r="A235" s="15" t="str">
        <x:f>IF(D235="","",ROW()-2)</x:f>
      </x:c>
      <x:c r="B235" s="16"/>
      <x:c r="C235" s="15"/>
      <x:c r="D235" s="15"/>
      <x:c r="E235" s="16"/>
      <x:c r="F235" s="15"/>
      <x:c r="G235" s="15"/>
      <x:c r="H235" s="15"/>
      <x:c r="I235" s="15"/>
      <x:c r="J235" s="15"/>
      <x:c r="K235" s="15"/>
      <x:c r="L235" s="17" t="str">
        <x:f>IF(M235="","",'参数'!$B$3+IF(ROW()=3,0,SUM($S$3:INDEX($S:$S,ROW()-1))))</x:f>
      </x:c>
      <x:c r="M235" s="17"/>
      <x:c r="N235" s="18"/>
      <x:c r="O235" s="19" t="str">
        <x:f>IF(OR(M235="",L235=""),"",M235/L235)</x:f>
      </x:c>
      <x:c r="P235" s="17" t="str">
        <x:f>IF(OR(M235="",N235=""),"",M235*N235)</x:f>
      </x:c>
      <x:c r="Q235" s="17"/>
      <x:c r="R235" s="17" t="str">
        <x:f>IF(OR(M235="",Q235="",Q235="未结算"),"",SWITCH(Q235,"赢",M235*N235,"输",0,"走水",M235,"取消",M235,"半赢",M235*(1+(N235-1)/2),"半输",M235*0.5,""))</x:f>
      </x:c>
      <x:c r="S235" s="17" t="str">
        <x:f>IF(R235="","",R235-M235)</x:f>
      </x:c>
      <x:c r="T235" s="19" t="str">
        <x:f>IF(OR(M235="",S235=""),"",S235/M235)</x:f>
      </x:c>
      <x:c r="U235" s="17" t="str">
        <x:f>IF(S235="","",'参数'!$B$3+SUM($S$3:S235))</x:f>
      </x:c>
      <x:c r="V235" s="15"/>
      <x:c r="W235" s="15"/>
      <x:c r="X235" s="15"/>
    </x:row>
    <x:row r="236" ht="25.5" customHeight="1">
      <x:c r="A236" s="15" t="str">
        <x:f>IF(D236="","",ROW()-2)</x:f>
      </x:c>
      <x:c r="B236" s="16"/>
      <x:c r="C236" s="15"/>
      <x:c r="D236" s="15"/>
      <x:c r="E236" s="16"/>
      <x:c r="F236" s="15"/>
      <x:c r="G236" s="15"/>
      <x:c r="H236" s="15"/>
      <x:c r="I236" s="15"/>
      <x:c r="J236" s="15"/>
      <x:c r="K236" s="15"/>
      <x:c r="L236" s="17" t="str">
        <x:f>IF(M236="","",'参数'!$B$3+IF(ROW()=3,0,SUM($S$3:INDEX($S:$S,ROW()-1))))</x:f>
      </x:c>
      <x:c r="M236" s="17"/>
      <x:c r="N236" s="18"/>
      <x:c r="O236" s="19" t="str">
        <x:f>IF(OR(M236="",L236=""),"",M236/L236)</x:f>
      </x:c>
      <x:c r="P236" s="17" t="str">
        <x:f>IF(OR(M236="",N236=""),"",M236*N236)</x:f>
      </x:c>
      <x:c r="Q236" s="17"/>
      <x:c r="R236" s="17" t="str">
        <x:f>IF(OR(M236="",Q236="",Q236="未结算"),"",SWITCH(Q236,"赢",M236*N236,"输",0,"走水",M236,"取消",M236,"半赢",M236*(1+(N236-1)/2),"半输",M236*0.5,""))</x:f>
      </x:c>
      <x:c r="S236" s="17" t="str">
        <x:f>IF(R236="","",R236-M236)</x:f>
      </x:c>
      <x:c r="T236" s="19" t="str">
        <x:f>IF(OR(M236="",S236=""),"",S236/M236)</x:f>
      </x:c>
      <x:c r="U236" s="17" t="str">
        <x:f>IF(S236="","",'参数'!$B$3+SUM($S$3:S236))</x:f>
      </x:c>
      <x:c r="V236" s="15"/>
      <x:c r="W236" s="15"/>
      <x:c r="X236" s="15"/>
    </x:row>
    <x:row r="237" ht="25.5" customHeight="1">
      <x:c r="A237" s="15" t="str">
        <x:f>IF(D237="","",ROW()-2)</x:f>
      </x:c>
      <x:c r="B237" s="16"/>
      <x:c r="C237" s="15"/>
      <x:c r="D237" s="15"/>
      <x:c r="E237" s="16"/>
      <x:c r="F237" s="15"/>
      <x:c r="G237" s="15"/>
      <x:c r="H237" s="15"/>
      <x:c r="I237" s="15"/>
      <x:c r="J237" s="15"/>
      <x:c r="K237" s="15"/>
      <x:c r="L237" s="17" t="str">
        <x:f>IF(M237="","",'参数'!$B$3+IF(ROW()=3,0,SUM($S$3:INDEX($S:$S,ROW()-1))))</x:f>
      </x:c>
      <x:c r="M237" s="17"/>
      <x:c r="N237" s="18"/>
      <x:c r="O237" s="19" t="str">
        <x:f>IF(OR(M237="",L237=""),"",M237/L237)</x:f>
      </x:c>
      <x:c r="P237" s="17" t="str">
        <x:f>IF(OR(M237="",N237=""),"",M237*N237)</x:f>
      </x:c>
      <x:c r="Q237" s="17"/>
      <x:c r="R237" s="17" t="str">
        <x:f>IF(OR(M237="",Q237="",Q237="未结算"),"",SWITCH(Q237,"赢",M237*N237,"输",0,"走水",M237,"取消",M237,"半赢",M237*(1+(N237-1)/2),"半输",M237*0.5,""))</x:f>
      </x:c>
      <x:c r="S237" s="17" t="str">
        <x:f>IF(R237="","",R237-M237)</x:f>
      </x:c>
      <x:c r="T237" s="19" t="str">
        <x:f>IF(OR(M237="",S237=""),"",S237/M237)</x:f>
      </x:c>
      <x:c r="U237" s="17" t="str">
        <x:f>IF(S237="","",'参数'!$B$3+SUM($S$3:S237))</x:f>
      </x:c>
      <x:c r="V237" s="15"/>
      <x:c r="W237" s="15"/>
      <x:c r="X237" s="15"/>
    </x:row>
    <x:row r="238" ht="25.5" customHeight="1">
      <x:c r="A238" s="15" t="str">
        <x:f>IF(D238="","",ROW()-2)</x:f>
      </x:c>
      <x:c r="B238" s="16"/>
      <x:c r="C238" s="15"/>
      <x:c r="D238" s="15"/>
      <x:c r="E238" s="16"/>
      <x:c r="F238" s="15"/>
      <x:c r="G238" s="15"/>
      <x:c r="H238" s="15"/>
      <x:c r="I238" s="15"/>
      <x:c r="J238" s="15"/>
      <x:c r="K238" s="15"/>
      <x:c r="L238" s="17" t="str">
        <x:f>IF(M238="","",'参数'!$B$3+IF(ROW()=3,0,SUM($S$3:INDEX($S:$S,ROW()-1))))</x:f>
      </x:c>
      <x:c r="M238" s="17"/>
      <x:c r="N238" s="18"/>
      <x:c r="O238" s="19" t="str">
        <x:f>IF(OR(M238="",L238=""),"",M238/L238)</x:f>
      </x:c>
      <x:c r="P238" s="17" t="str">
        <x:f>IF(OR(M238="",N238=""),"",M238*N238)</x:f>
      </x:c>
      <x:c r="Q238" s="17"/>
      <x:c r="R238" s="17" t="str">
        <x:f>IF(OR(M238="",Q238="",Q238="未结算"),"",SWITCH(Q238,"赢",M238*N238,"输",0,"走水",M238,"取消",M238,"半赢",M238*(1+(N238-1)/2),"半输",M238*0.5,""))</x:f>
      </x:c>
      <x:c r="S238" s="17" t="str">
        <x:f>IF(R238="","",R238-M238)</x:f>
      </x:c>
      <x:c r="T238" s="19" t="str">
        <x:f>IF(OR(M238="",S238=""),"",S238/M238)</x:f>
      </x:c>
      <x:c r="U238" s="17" t="str">
        <x:f>IF(S238="","",'参数'!$B$3+SUM($S$3:S238))</x:f>
      </x:c>
      <x:c r="V238" s="15"/>
      <x:c r="W238" s="15"/>
      <x:c r="X238" s="15"/>
    </x:row>
    <x:row r="239" ht="25.5" customHeight="1">
      <x:c r="A239" s="15" t="str">
        <x:f>IF(D239="","",ROW()-2)</x:f>
      </x:c>
      <x:c r="B239" s="16"/>
      <x:c r="C239" s="15"/>
      <x:c r="D239" s="15"/>
      <x:c r="E239" s="16"/>
      <x:c r="F239" s="15"/>
      <x:c r="G239" s="15"/>
      <x:c r="H239" s="15"/>
      <x:c r="I239" s="15"/>
      <x:c r="J239" s="15"/>
      <x:c r="K239" s="15"/>
      <x:c r="L239" s="17" t="str">
        <x:f>IF(M239="","",'参数'!$B$3+IF(ROW()=3,0,SUM($S$3:INDEX($S:$S,ROW()-1))))</x:f>
      </x:c>
      <x:c r="M239" s="17"/>
      <x:c r="N239" s="18"/>
      <x:c r="O239" s="19" t="str">
        <x:f>IF(OR(M239="",L239=""),"",M239/L239)</x:f>
      </x:c>
      <x:c r="P239" s="17" t="str">
        <x:f>IF(OR(M239="",N239=""),"",M239*N239)</x:f>
      </x:c>
      <x:c r="Q239" s="17"/>
      <x:c r="R239" s="17" t="str">
        <x:f>IF(OR(M239="",Q239="",Q239="未结算"),"",SWITCH(Q239,"赢",M239*N239,"输",0,"走水",M239,"取消",M239,"半赢",M239*(1+(N239-1)/2),"半输",M239*0.5,""))</x:f>
      </x:c>
      <x:c r="S239" s="17" t="str">
        <x:f>IF(R239="","",R239-M239)</x:f>
      </x:c>
      <x:c r="T239" s="19" t="str">
        <x:f>IF(OR(M239="",S239=""),"",S239/M239)</x:f>
      </x:c>
      <x:c r="U239" s="17" t="str">
        <x:f>IF(S239="","",'参数'!$B$3+SUM($S$3:S239))</x:f>
      </x:c>
      <x:c r="V239" s="15"/>
      <x:c r="W239" s="15"/>
      <x:c r="X239" s="15"/>
    </x:row>
    <x:row r="240" ht="25.5" customHeight="1">
      <x:c r="A240" s="15" t="str">
        <x:f>IF(D240="","",ROW()-2)</x:f>
      </x:c>
      <x:c r="B240" s="16"/>
      <x:c r="C240" s="15"/>
      <x:c r="D240" s="15"/>
      <x:c r="E240" s="16"/>
      <x:c r="F240" s="15"/>
      <x:c r="G240" s="15"/>
      <x:c r="H240" s="15"/>
      <x:c r="I240" s="15"/>
      <x:c r="J240" s="15"/>
      <x:c r="K240" s="15"/>
      <x:c r="L240" s="17" t="str">
        <x:f>IF(M240="","",'参数'!$B$3+IF(ROW()=3,0,SUM($S$3:INDEX($S:$S,ROW()-1))))</x:f>
      </x:c>
      <x:c r="M240" s="17"/>
      <x:c r="N240" s="18"/>
      <x:c r="O240" s="19" t="str">
        <x:f>IF(OR(M240="",L240=""),"",M240/L240)</x:f>
      </x:c>
      <x:c r="P240" s="17" t="str">
        <x:f>IF(OR(M240="",N240=""),"",M240*N240)</x:f>
      </x:c>
      <x:c r="Q240" s="17"/>
      <x:c r="R240" s="17" t="str">
        <x:f>IF(OR(M240="",Q240="",Q240="未结算"),"",SWITCH(Q240,"赢",M240*N240,"输",0,"走水",M240,"取消",M240,"半赢",M240*(1+(N240-1)/2),"半输",M240*0.5,""))</x:f>
      </x:c>
      <x:c r="S240" s="17" t="str">
        <x:f>IF(R240="","",R240-M240)</x:f>
      </x:c>
      <x:c r="T240" s="19" t="str">
        <x:f>IF(OR(M240="",S240=""),"",S240/M240)</x:f>
      </x:c>
      <x:c r="U240" s="17" t="str">
        <x:f>IF(S240="","",'参数'!$B$3+SUM($S$3:S240))</x:f>
      </x:c>
      <x:c r="V240" s="15"/>
      <x:c r="W240" s="15"/>
      <x:c r="X240" s="15"/>
    </x:row>
    <x:row r="241" ht="25.5" customHeight="1">
      <x:c r="A241" s="15" t="str">
        <x:f>IF(D241="","",ROW()-2)</x:f>
      </x:c>
      <x:c r="B241" s="16"/>
      <x:c r="C241" s="15"/>
      <x:c r="D241" s="15"/>
      <x:c r="E241" s="16"/>
      <x:c r="F241" s="15"/>
      <x:c r="G241" s="15"/>
      <x:c r="H241" s="15"/>
      <x:c r="I241" s="15"/>
      <x:c r="J241" s="15"/>
      <x:c r="K241" s="15"/>
      <x:c r="L241" s="17" t="str">
        <x:f>IF(M241="","",'参数'!$B$3+IF(ROW()=3,0,SUM($S$3:INDEX($S:$S,ROW()-1))))</x:f>
      </x:c>
      <x:c r="M241" s="17"/>
      <x:c r="N241" s="18"/>
      <x:c r="O241" s="19" t="str">
        <x:f>IF(OR(M241="",L241=""),"",M241/L241)</x:f>
      </x:c>
      <x:c r="P241" s="17" t="str">
        <x:f>IF(OR(M241="",N241=""),"",M241*N241)</x:f>
      </x:c>
      <x:c r="Q241" s="17"/>
      <x:c r="R241" s="17" t="str">
        <x:f>IF(OR(M241="",Q241="",Q241="未结算"),"",SWITCH(Q241,"赢",M241*N241,"输",0,"走水",M241,"取消",M241,"半赢",M241*(1+(N241-1)/2),"半输",M241*0.5,""))</x:f>
      </x:c>
      <x:c r="S241" s="17" t="str">
        <x:f>IF(R241="","",R241-M241)</x:f>
      </x:c>
      <x:c r="T241" s="19" t="str">
        <x:f>IF(OR(M241="",S241=""),"",S241/M241)</x:f>
      </x:c>
      <x:c r="U241" s="17" t="str">
        <x:f>IF(S241="","",'参数'!$B$3+SUM($S$3:S241))</x:f>
      </x:c>
      <x:c r="V241" s="15"/>
      <x:c r="W241" s="15"/>
      <x:c r="X241" s="15"/>
    </x:row>
    <x:row r="242" ht="25.5" customHeight="1">
      <x:c r="A242" s="15" t="str">
        <x:f>IF(D242="","",ROW()-2)</x:f>
      </x:c>
      <x:c r="B242" s="16"/>
      <x:c r="C242" s="15"/>
      <x:c r="D242" s="15"/>
      <x:c r="E242" s="16"/>
      <x:c r="F242" s="15"/>
      <x:c r="G242" s="15"/>
      <x:c r="H242" s="15"/>
      <x:c r="I242" s="15"/>
      <x:c r="J242" s="15"/>
      <x:c r="K242" s="15"/>
      <x:c r="L242" s="17" t="str">
        <x:f>IF(M242="","",'参数'!$B$3+IF(ROW()=3,0,SUM($S$3:INDEX($S:$S,ROW()-1))))</x:f>
      </x:c>
      <x:c r="M242" s="17"/>
      <x:c r="N242" s="18"/>
      <x:c r="O242" s="19" t="str">
        <x:f>IF(OR(M242="",L242=""),"",M242/L242)</x:f>
      </x:c>
      <x:c r="P242" s="17" t="str">
        <x:f>IF(OR(M242="",N242=""),"",M242*N242)</x:f>
      </x:c>
      <x:c r="Q242" s="17"/>
      <x:c r="R242" s="17" t="str">
        <x:f>IF(OR(M242="",Q242="",Q242="未结算"),"",SWITCH(Q242,"赢",M242*N242,"输",0,"走水",M242,"取消",M242,"半赢",M242*(1+(N242-1)/2),"半输",M242*0.5,""))</x:f>
      </x:c>
      <x:c r="S242" s="17" t="str">
        <x:f>IF(R242="","",R242-M242)</x:f>
      </x:c>
      <x:c r="T242" s="19" t="str">
        <x:f>IF(OR(M242="",S242=""),"",S242/M242)</x:f>
      </x:c>
      <x:c r="U242" s="17" t="str">
        <x:f>IF(S242="","",'参数'!$B$3+SUM($S$3:S242))</x:f>
      </x:c>
      <x:c r="V242" s="15"/>
      <x:c r="W242" s="15"/>
      <x:c r="X242" s="15"/>
    </x:row>
    <x:row r="243" ht="25.5" customHeight="1">
      <x:c r="A243" s="15" t="str">
        <x:f>IF(D243="","",ROW()-2)</x:f>
      </x:c>
      <x:c r="B243" s="16"/>
      <x:c r="C243" s="15"/>
      <x:c r="D243" s="15"/>
      <x:c r="E243" s="16"/>
      <x:c r="F243" s="15"/>
      <x:c r="G243" s="15"/>
      <x:c r="H243" s="15"/>
      <x:c r="I243" s="15"/>
      <x:c r="J243" s="15"/>
      <x:c r="K243" s="15"/>
      <x:c r="L243" s="17" t="str">
        <x:f>IF(M243="","",'参数'!$B$3+IF(ROW()=3,0,SUM($S$3:INDEX($S:$S,ROW()-1))))</x:f>
      </x:c>
      <x:c r="M243" s="17"/>
      <x:c r="N243" s="18"/>
      <x:c r="O243" s="19" t="str">
        <x:f>IF(OR(M243="",L243=""),"",M243/L243)</x:f>
      </x:c>
      <x:c r="P243" s="17" t="str">
        <x:f>IF(OR(M243="",N243=""),"",M243*N243)</x:f>
      </x:c>
      <x:c r="Q243" s="17"/>
      <x:c r="R243" s="17" t="str">
        <x:f>IF(OR(M243="",Q243="",Q243="未结算"),"",SWITCH(Q243,"赢",M243*N243,"输",0,"走水",M243,"取消",M243,"半赢",M243*(1+(N243-1)/2),"半输",M243*0.5,""))</x:f>
      </x:c>
      <x:c r="S243" s="17" t="str">
        <x:f>IF(R243="","",R243-M243)</x:f>
      </x:c>
      <x:c r="T243" s="19" t="str">
        <x:f>IF(OR(M243="",S243=""),"",S243/M243)</x:f>
      </x:c>
      <x:c r="U243" s="17" t="str">
        <x:f>IF(S243="","",'参数'!$B$3+SUM($S$3:S243))</x:f>
      </x:c>
      <x:c r="V243" s="15"/>
      <x:c r="W243" s="15"/>
      <x:c r="X243" s="15"/>
    </x:row>
    <x:row r="244" ht="25.5" customHeight="1">
      <x:c r="A244" s="15" t="str">
        <x:f>IF(D244="","",ROW()-2)</x:f>
      </x:c>
      <x:c r="B244" s="16"/>
      <x:c r="C244" s="15"/>
      <x:c r="D244" s="15"/>
      <x:c r="E244" s="16"/>
      <x:c r="F244" s="15"/>
      <x:c r="G244" s="15"/>
      <x:c r="H244" s="15"/>
      <x:c r="I244" s="15"/>
      <x:c r="J244" s="15"/>
      <x:c r="K244" s="15"/>
      <x:c r="L244" s="17" t="str">
        <x:f>IF(M244="","",'参数'!$B$3+IF(ROW()=3,0,SUM($S$3:INDEX($S:$S,ROW()-1))))</x:f>
      </x:c>
      <x:c r="M244" s="17"/>
      <x:c r="N244" s="18"/>
      <x:c r="O244" s="19" t="str">
        <x:f>IF(OR(M244="",L244=""),"",M244/L244)</x:f>
      </x:c>
      <x:c r="P244" s="17" t="str">
        <x:f>IF(OR(M244="",N244=""),"",M244*N244)</x:f>
      </x:c>
      <x:c r="Q244" s="17"/>
      <x:c r="R244" s="17" t="str">
        <x:f>IF(OR(M244="",Q244="",Q244="未结算"),"",SWITCH(Q244,"赢",M244*N244,"输",0,"走水",M244,"取消",M244,"半赢",M244*(1+(N244-1)/2),"半输",M244*0.5,""))</x:f>
      </x:c>
      <x:c r="S244" s="17" t="str">
        <x:f>IF(R244="","",R244-M244)</x:f>
      </x:c>
      <x:c r="T244" s="19" t="str">
        <x:f>IF(OR(M244="",S244=""),"",S244/M244)</x:f>
      </x:c>
      <x:c r="U244" s="17" t="str">
        <x:f>IF(S244="","",'参数'!$B$3+SUM($S$3:S244))</x:f>
      </x:c>
      <x:c r="V244" s="15"/>
      <x:c r="W244" s="15"/>
      <x:c r="X244" s="15"/>
    </x:row>
    <x:row r="245" ht="25.5" customHeight="1">
      <x:c r="A245" s="15" t="str">
        <x:f>IF(D245="","",ROW()-2)</x:f>
      </x:c>
      <x:c r="B245" s="16"/>
      <x:c r="C245" s="15"/>
      <x:c r="D245" s="15"/>
      <x:c r="E245" s="16"/>
      <x:c r="F245" s="15"/>
      <x:c r="G245" s="15"/>
      <x:c r="H245" s="15"/>
      <x:c r="I245" s="15"/>
      <x:c r="J245" s="15"/>
      <x:c r="K245" s="15"/>
      <x:c r="L245" s="17" t="str">
        <x:f>IF(M245="","",'参数'!$B$3+IF(ROW()=3,0,SUM($S$3:INDEX($S:$S,ROW()-1))))</x:f>
      </x:c>
      <x:c r="M245" s="17"/>
      <x:c r="N245" s="18"/>
      <x:c r="O245" s="19" t="str">
        <x:f>IF(OR(M245="",L245=""),"",M245/L245)</x:f>
      </x:c>
      <x:c r="P245" s="17" t="str">
        <x:f>IF(OR(M245="",N245=""),"",M245*N245)</x:f>
      </x:c>
      <x:c r="Q245" s="17"/>
      <x:c r="R245" s="17" t="str">
        <x:f>IF(OR(M245="",Q245="",Q245="未结算"),"",SWITCH(Q245,"赢",M245*N245,"输",0,"走水",M245,"取消",M245,"半赢",M245*(1+(N245-1)/2),"半输",M245*0.5,""))</x:f>
      </x:c>
      <x:c r="S245" s="17" t="str">
        <x:f>IF(R245="","",R245-M245)</x:f>
      </x:c>
      <x:c r="T245" s="19" t="str">
        <x:f>IF(OR(M245="",S245=""),"",S245/M245)</x:f>
      </x:c>
      <x:c r="U245" s="17" t="str">
        <x:f>IF(S245="","",'参数'!$B$3+SUM($S$3:S245))</x:f>
      </x:c>
      <x:c r="V245" s="15"/>
      <x:c r="W245" s="15"/>
      <x:c r="X245" s="15"/>
    </x:row>
    <x:row r="246" ht="25.5" customHeight="1">
      <x:c r="A246" s="15" t="str">
        <x:f>IF(D246="","",ROW()-2)</x:f>
      </x:c>
      <x:c r="B246" s="16"/>
      <x:c r="C246" s="15"/>
      <x:c r="D246" s="15"/>
      <x:c r="E246" s="16"/>
      <x:c r="F246" s="15"/>
      <x:c r="G246" s="15"/>
      <x:c r="H246" s="15"/>
      <x:c r="I246" s="15"/>
      <x:c r="J246" s="15"/>
      <x:c r="K246" s="15"/>
      <x:c r="L246" s="17" t="str">
        <x:f>IF(M246="","",'参数'!$B$3+IF(ROW()=3,0,SUM($S$3:INDEX($S:$S,ROW()-1))))</x:f>
      </x:c>
      <x:c r="M246" s="17"/>
      <x:c r="N246" s="18"/>
      <x:c r="O246" s="19" t="str">
        <x:f>IF(OR(M246="",L246=""),"",M246/L246)</x:f>
      </x:c>
      <x:c r="P246" s="17" t="str">
        <x:f>IF(OR(M246="",N246=""),"",M246*N246)</x:f>
      </x:c>
      <x:c r="Q246" s="17"/>
      <x:c r="R246" s="17" t="str">
        <x:f>IF(OR(M246="",Q246="",Q246="未结算"),"",SWITCH(Q246,"赢",M246*N246,"输",0,"走水",M246,"取消",M246,"半赢",M246*(1+(N246-1)/2),"半输",M246*0.5,""))</x:f>
      </x:c>
      <x:c r="S246" s="17" t="str">
        <x:f>IF(R246="","",R246-M246)</x:f>
      </x:c>
      <x:c r="T246" s="19" t="str">
        <x:f>IF(OR(M246="",S246=""),"",S246/M246)</x:f>
      </x:c>
      <x:c r="U246" s="17" t="str">
        <x:f>IF(S246="","",'参数'!$B$3+SUM($S$3:S246))</x:f>
      </x:c>
      <x:c r="V246" s="15"/>
      <x:c r="W246" s="15"/>
      <x:c r="X246" s="15"/>
    </x:row>
    <x:row r="247" ht="25.5" customHeight="1">
      <x:c r="A247" s="15" t="str">
        <x:f>IF(D247="","",ROW()-2)</x:f>
      </x:c>
      <x:c r="B247" s="16"/>
      <x:c r="C247" s="15"/>
      <x:c r="D247" s="15"/>
      <x:c r="E247" s="16"/>
      <x:c r="F247" s="15"/>
      <x:c r="G247" s="15"/>
      <x:c r="H247" s="15"/>
      <x:c r="I247" s="15"/>
      <x:c r="J247" s="15"/>
      <x:c r="K247" s="15"/>
      <x:c r="L247" s="17" t="str">
        <x:f>IF(M247="","",'参数'!$B$3+IF(ROW()=3,0,SUM($S$3:INDEX($S:$S,ROW()-1))))</x:f>
      </x:c>
      <x:c r="M247" s="17"/>
      <x:c r="N247" s="18"/>
      <x:c r="O247" s="19" t="str">
        <x:f>IF(OR(M247="",L247=""),"",M247/L247)</x:f>
      </x:c>
      <x:c r="P247" s="17" t="str">
        <x:f>IF(OR(M247="",N247=""),"",M247*N247)</x:f>
      </x:c>
      <x:c r="Q247" s="17"/>
      <x:c r="R247" s="17" t="str">
        <x:f>IF(OR(M247="",Q247="",Q247="未结算"),"",SWITCH(Q247,"赢",M247*N247,"输",0,"走水",M247,"取消",M247,"半赢",M247*(1+(N247-1)/2),"半输",M247*0.5,""))</x:f>
      </x:c>
      <x:c r="S247" s="17" t="str">
        <x:f>IF(R247="","",R247-M247)</x:f>
      </x:c>
      <x:c r="T247" s="19" t="str">
        <x:f>IF(OR(M247="",S247=""),"",S247/M247)</x:f>
      </x:c>
      <x:c r="U247" s="17" t="str">
        <x:f>IF(S247="","",'参数'!$B$3+SUM($S$3:S247))</x:f>
      </x:c>
      <x:c r="V247" s="15"/>
      <x:c r="W247" s="15"/>
      <x:c r="X247" s="15"/>
    </x:row>
    <x:row r="248" ht="25.5" customHeight="1">
      <x:c r="A248" s="15" t="str">
        <x:f>IF(D248="","",ROW()-2)</x:f>
      </x:c>
      <x:c r="B248" s="16"/>
      <x:c r="C248" s="15"/>
      <x:c r="D248" s="15"/>
      <x:c r="E248" s="16"/>
      <x:c r="F248" s="15"/>
      <x:c r="G248" s="15"/>
      <x:c r="H248" s="15"/>
      <x:c r="I248" s="15"/>
      <x:c r="J248" s="15"/>
      <x:c r="K248" s="15"/>
      <x:c r="L248" s="17" t="str">
        <x:f>IF(M248="","",'参数'!$B$3+IF(ROW()=3,0,SUM($S$3:INDEX($S:$S,ROW()-1))))</x:f>
      </x:c>
      <x:c r="M248" s="17"/>
      <x:c r="N248" s="18"/>
      <x:c r="O248" s="19" t="str">
        <x:f>IF(OR(M248="",L248=""),"",M248/L248)</x:f>
      </x:c>
      <x:c r="P248" s="17" t="str">
        <x:f>IF(OR(M248="",N248=""),"",M248*N248)</x:f>
      </x:c>
      <x:c r="Q248" s="17"/>
      <x:c r="R248" s="17" t="str">
        <x:f>IF(OR(M248="",Q248="",Q248="未结算"),"",SWITCH(Q248,"赢",M248*N248,"输",0,"走水",M248,"取消",M248,"半赢",M248*(1+(N248-1)/2),"半输",M248*0.5,""))</x:f>
      </x:c>
      <x:c r="S248" s="17" t="str">
        <x:f>IF(R248="","",R248-M248)</x:f>
      </x:c>
      <x:c r="T248" s="19" t="str">
        <x:f>IF(OR(M248="",S248=""),"",S248/M248)</x:f>
      </x:c>
      <x:c r="U248" s="17" t="str">
        <x:f>IF(S248="","",'参数'!$B$3+SUM($S$3:S248))</x:f>
      </x:c>
      <x:c r="V248" s="15"/>
      <x:c r="W248" s="15"/>
      <x:c r="X248" s="15"/>
    </x:row>
    <x:row r="249" ht="25.5" customHeight="1">
      <x:c r="A249" s="15" t="str">
        <x:f>IF(D249="","",ROW()-2)</x:f>
      </x:c>
      <x:c r="B249" s="16"/>
      <x:c r="C249" s="15"/>
      <x:c r="D249" s="15"/>
      <x:c r="E249" s="16"/>
      <x:c r="F249" s="15"/>
      <x:c r="G249" s="15"/>
      <x:c r="H249" s="15"/>
      <x:c r="I249" s="15"/>
      <x:c r="J249" s="15"/>
      <x:c r="K249" s="15"/>
      <x:c r="L249" s="17" t="str">
        <x:f>IF(M249="","",'参数'!$B$3+IF(ROW()=3,0,SUM($S$3:INDEX($S:$S,ROW()-1))))</x:f>
      </x:c>
      <x:c r="M249" s="17"/>
      <x:c r="N249" s="18"/>
      <x:c r="O249" s="19" t="str">
        <x:f>IF(OR(M249="",L249=""),"",M249/L249)</x:f>
      </x:c>
      <x:c r="P249" s="17" t="str">
        <x:f>IF(OR(M249="",N249=""),"",M249*N249)</x:f>
      </x:c>
      <x:c r="Q249" s="17"/>
      <x:c r="R249" s="17" t="str">
        <x:f>IF(OR(M249="",Q249="",Q249="未结算"),"",SWITCH(Q249,"赢",M249*N249,"输",0,"走水",M249,"取消",M249,"半赢",M249*(1+(N249-1)/2),"半输",M249*0.5,""))</x:f>
      </x:c>
      <x:c r="S249" s="17" t="str">
        <x:f>IF(R249="","",R249-M249)</x:f>
      </x:c>
      <x:c r="T249" s="19" t="str">
        <x:f>IF(OR(M249="",S249=""),"",S249/M249)</x:f>
      </x:c>
      <x:c r="U249" s="17" t="str">
        <x:f>IF(S249="","",'参数'!$B$3+SUM($S$3:S249))</x:f>
      </x:c>
      <x:c r="V249" s="15"/>
      <x:c r="W249" s="15"/>
      <x:c r="X249" s="15"/>
    </x:row>
    <x:row r="250" ht="25.5" customHeight="1">
      <x:c r="A250" s="15" t="str">
        <x:f>IF(D250="","",ROW()-2)</x:f>
      </x:c>
      <x:c r="B250" s="16"/>
      <x:c r="C250" s="15"/>
      <x:c r="D250" s="15"/>
      <x:c r="E250" s="16"/>
      <x:c r="F250" s="15"/>
      <x:c r="G250" s="15"/>
      <x:c r="H250" s="15"/>
      <x:c r="I250" s="15"/>
      <x:c r="J250" s="15"/>
      <x:c r="K250" s="15"/>
      <x:c r="L250" s="17" t="str">
        <x:f>IF(M250="","",'参数'!$B$3+IF(ROW()=3,0,SUM($S$3:INDEX($S:$S,ROW()-1))))</x:f>
      </x:c>
      <x:c r="M250" s="17"/>
      <x:c r="N250" s="18"/>
      <x:c r="O250" s="19" t="str">
        <x:f>IF(OR(M250="",L250=""),"",M250/L250)</x:f>
      </x:c>
      <x:c r="P250" s="17" t="str">
        <x:f>IF(OR(M250="",N250=""),"",M250*N250)</x:f>
      </x:c>
      <x:c r="Q250" s="17"/>
      <x:c r="R250" s="17" t="str">
        <x:f>IF(OR(M250="",Q250="",Q250="未结算"),"",SWITCH(Q250,"赢",M250*N250,"输",0,"走水",M250,"取消",M250,"半赢",M250*(1+(N250-1)/2),"半输",M250*0.5,""))</x:f>
      </x:c>
      <x:c r="S250" s="17" t="str">
        <x:f>IF(R250="","",R250-M250)</x:f>
      </x:c>
      <x:c r="T250" s="19" t="str">
        <x:f>IF(OR(M250="",S250=""),"",S250/M250)</x:f>
      </x:c>
      <x:c r="U250" s="17" t="str">
        <x:f>IF(S250="","",'参数'!$B$3+SUM($S$3:S250))</x:f>
      </x:c>
      <x:c r="V250" s="15"/>
      <x:c r="W250" s="15"/>
      <x:c r="X250" s="15"/>
    </x:row>
    <x:row r="251" ht="25.5" customHeight="1">
      <x:c r="A251" s="15" t="str">
        <x:f>IF(D251="","",ROW()-2)</x:f>
      </x:c>
      <x:c r="B251" s="16"/>
      <x:c r="C251" s="15"/>
      <x:c r="D251" s="15"/>
      <x:c r="E251" s="16"/>
      <x:c r="F251" s="15"/>
      <x:c r="G251" s="15"/>
      <x:c r="H251" s="15"/>
      <x:c r="I251" s="15"/>
      <x:c r="J251" s="15"/>
      <x:c r="K251" s="15"/>
      <x:c r="L251" s="17" t="str">
        <x:f>IF(M251="","",'参数'!$B$3+IF(ROW()=3,0,SUM($S$3:INDEX($S:$S,ROW()-1))))</x:f>
      </x:c>
      <x:c r="M251" s="17"/>
      <x:c r="N251" s="18"/>
      <x:c r="O251" s="19" t="str">
        <x:f>IF(OR(M251="",L251=""),"",M251/L251)</x:f>
      </x:c>
      <x:c r="P251" s="17" t="str">
        <x:f>IF(OR(M251="",N251=""),"",M251*N251)</x:f>
      </x:c>
      <x:c r="Q251" s="17"/>
      <x:c r="R251" s="17" t="str">
        <x:f>IF(OR(M251="",Q251="",Q251="未结算"),"",SWITCH(Q251,"赢",M251*N251,"输",0,"走水",M251,"取消",M251,"半赢",M251*(1+(N251-1)/2),"半输",M251*0.5,""))</x:f>
      </x:c>
      <x:c r="S251" s="17" t="str">
        <x:f>IF(R251="","",R251-M251)</x:f>
      </x:c>
      <x:c r="T251" s="19" t="str">
        <x:f>IF(OR(M251="",S251=""),"",S251/M251)</x:f>
      </x:c>
      <x:c r="U251" s="17" t="str">
        <x:f>IF(S251="","",'参数'!$B$3+SUM($S$3:S251))</x:f>
      </x:c>
      <x:c r="V251" s="15"/>
      <x:c r="W251" s="15"/>
      <x:c r="X251" s="15"/>
    </x:row>
    <x:row r="252" ht="25.5" customHeight="1">
      <x:c r="A252" s="15" t="str">
        <x:f>IF(D252="","",ROW()-2)</x:f>
      </x:c>
      <x:c r="B252" s="16"/>
      <x:c r="C252" s="15"/>
      <x:c r="D252" s="15"/>
      <x:c r="E252" s="16"/>
      <x:c r="F252" s="15"/>
      <x:c r="G252" s="15"/>
      <x:c r="H252" s="15"/>
      <x:c r="I252" s="15"/>
      <x:c r="J252" s="15"/>
      <x:c r="K252" s="15"/>
      <x:c r="L252" s="17" t="str">
        <x:f>IF(M252="","",'参数'!$B$3+IF(ROW()=3,0,SUM($S$3:INDEX($S:$S,ROW()-1))))</x:f>
      </x:c>
      <x:c r="M252" s="17"/>
      <x:c r="N252" s="18"/>
      <x:c r="O252" s="19" t="str">
        <x:f>IF(OR(M252="",L252=""),"",M252/L252)</x:f>
      </x:c>
      <x:c r="P252" s="17" t="str">
        <x:f>IF(OR(M252="",N252=""),"",M252*N252)</x:f>
      </x:c>
      <x:c r="Q252" s="17"/>
      <x:c r="R252" s="17" t="str">
        <x:f>IF(OR(M252="",Q252="",Q252="未结算"),"",SWITCH(Q252,"赢",M252*N252,"输",0,"走水",M252,"取消",M252,"半赢",M252*(1+(N252-1)/2),"半输",M252*0.5,""))</x:f>
      </x:c>
      <x:c r="S252" s="17" t="str">
        <x:f>IF(R252="","",R252-M252)</x:f>
      </x:c>
      <x:c r="T252" s="19" t="str">
        <x:f>IF(OR(M252="",S252=""),"",S252/M252)</x:f>
      </x:c>
      <x:c r="U252" s="17" t="str">
        <x:f>IF(S252="","",'参数'!$B$3+SUM($S$3:S252))</x:f>
      </x:c>
      <x:c r="V252" s="15"/>
      <x:c r="W252" s="15"/>
      <x:c r="X252" s="15"/>
    </x:row>
    <x:row r="253" ht="25.5" customHeight="1">
      <x:c r="A253" s="15" t="str">
        <x:f>IF(D253="","",ROW()-2)</x:f>
      </x:c>
      <x:c r="B253" s="16"/>
      <x:c r="C253" s="15"/>
      <x:c r="D253" s="15"/>
      <x:c r="E253" s="16"/>
      <x:c r="F253" s="15"/>
      <x:c r="G253" s="15"/>
      <x:c r="H253" s="15"/>
      <x:c r="I253" s="15"/>
      <x:c r="J253" s="15"/>
      <x:c r="K253" s="15"/>
      <x:c r="L253" s="17" t="str">
        <x:f>IF(M253="","",'参数'!$B$3+IF(ROW()=3,0,SUM($S$3:INDEX($S:$S,ROW()-1))))</x:f>
      </x:c>
      <x:c r="M253" s="17"/>
      <x:c r="N253" s="18"/>
      <x:c r="O253" s="19" t="str">
        <x:f>IF(OR(M253="",L253=""),"",M253/L253)</x:f>
      </x:c>
      <x:c r="P253" s="17" t="str">
        <x:f>IF(OR(M253="",N253=""),"",M253*N253)</x:f>
      </x:c>
      <x:c r="Q253" s="17"/>
      <x:c r="R253" s="17" t="str">
        <x:f>IF(OR(M253="",Q253="",Q253="未结算"),"",SWITCH(Q253,"赢",M253*N253,"输",0,"走水",M253,"取消",M253,"半赢",M253*(1+(N253-1)/2),"半输",M253*0.5,""))</x:f>
      </x:c>
      <x:c r="S253" s="17" t="str">
        <x:f>IF(R253="","",R253-M253)</x:f>
      </x:c>
      <x:c r="T253" s="19" t="str">
        <x:f>IF(OR(M253="",S253=""),"",S253/M253)</x:f>
      </x:c>
      <x:c r="U253" s="17" t="str">
        <x:f>IF(S253="","",'参数'!$B$3+SUM($S$3:S253))</x:f>
      </x:c>
      <x:c r="V253" s="15"/>
      <x:c r="W253" s="15"/>
      <x:c r="X253" s="15"/>
    </x:row>
    <x:row r="254" ht="25.5" customHeight="1">
      <x:c r="A254" s="15" t="str">
        <x:f>IF(D254="","",ROW()-2)</x:f>
      </x:c>
      <x:c r="B254" s="16"/>
      <x:c r="C254" s="15"/>
      <x:c r="D254" s="15"/>
      <x:c r="E254" s="16"/>
      <x:c r="F254" s="15"/>
      <x:c r="G254" s="15"/>
      <x:c r="H254" s="15"/>
      <x:c r="I254" s="15"/>
      <x:c r="J254" s="15"/>
      <x:c r="K254" s="15"/>
      <x:c r="L254" s="17" t="str">
        <x:f>IF(M254="","",'参数'!$B$3+IF(ROW()=3,0,SUM($S$3:INDEX($S:$S,ROW()-1))))</x:f>
      </x:c>
      <x:c r="M254" s="17"/>
      <x:c r="N254" s="18"/>
      <x:c r="O254" s="19" t="str">
        <x:f>IF(OR(M254="",L254=""),"",M254/L254)</x:f>
      </x:c>
      <x:c r="P254" s="17" t="str">
        <x:f>IF(OR(M254="",N254=""),"",M254*N254)</x:f>
      </x:c>
      <x:c r="Q254" s="17"/>
      <x:c r="R254" s="17" t="str">
        <x:f>IF(OR(M254="",Q254="",Q254="未结算"),"",SWITCH(Q254,"赢",M254*N254,"输",0,"走水",M254,"取消",M254,"半赢",M254*(1+(N254-1)/2),"半输",M254*0.5,""))</x:f>
      </x:c>
      <x:c r="S254" s="17" t="str">
        <x:f>IF(R254="","",R254-M254)</x:f>
      </x:c>
      <x:c r="T254" s="19" t="str">
        <x:f>IF(OR(M254="",S254=""),"",S254/M254)</x:f>
      </x:c>
      <x:c r="U254" s="17" t="str">
        <x:f>IF(S254="","",'参数'!$B$3+SUM($S$3:S254))</x:f>
      </x:c>
      <x:c r="V254" s="15"/>
      <x:c r="W254" s="15"/>
      <x:c r="X254" s="15"/>
    </x:row>
    <x:row r="255" ht="25.5" customHeight="1">
      <x:c r="A255" s="15" t="str">
        <x:f>IF(D255="","",ROW()-2)</x:f>
      </x:c>
      <x:c r="B255" s="16"/>
      <x:c r="C255" s="15"/>
      <x:c r="D255" s="15"/>
      <x:c r="E255" s="16"/>
      <x:c r="F255" s="15"/>
      <x:c r="G255" s="15"/>
      <x:c r="H255" s="15"/>
      <x:c r="I255" s="15"/>
      <x:c r="J255" s="15"/>
      <x:c r="K255" s="15"/>
      <x:c r="L255" s="17" t="str">
        <x:f>IF(M255="","",'参数'!$B$3+IF(ROW()=3,0,SUM($S$3:INDEX($S:$S,ROW()-1))))</x:f>
      </x:c>
      <x:c r="M255" s="17"/>
      <x:c r="N255" s="18"/>
      <x:c r="O255" s="19" t="str">
        <x:f>IF(OR(M255="",L255=""),"",M255/L255)</x:f>
      </x:c>
      <x:c r="P255" s="17" t="str">
        <x:f>IF(OR(M255="",N255=""),"",M255*N255)</x:f>
      </x:c>
      <x:c r="Q255" s="17"/>
      <x:c r="R255" s="17" t="str">
        <x:f>IF(OR(M255="",Q255="",Q255="未结算"),"",SWITCH(Q255,"赢",M255*N255,"输",0,"走水",M255,"取消",M255,"半赢",M255*(1+(N255-1)/2),"半输",M255*0.5,""))</x:f>
      </x:c>
      <x:c r="S255" s="17" t="str">
        <x:f>IF(R255="","",R255-M255)</x:f>
      </x:c>
      <x:c r="T255" s="19" t="str">
        <x:f>IF(OR(M255="",S255=""),"",S255/M255)</x:f>
      </x:c>
      <x:c r="U255" s="17" t="str">
        <x:f>IF(S255="","",'参数'!$B$3+SUM($S$3:S255))</x:f>
      </x:c>
      <x:c r="V255" s="15"/>
      <x:c r="W255" s="15"/>
      <x:c r="X255" s="15"/>
    </x:row>
    <x:row r="256" ht="25.5" customHeight="1">
      <x:c r="A256" s="15" t="str">
        <x:f>IF(D256="","",ROW()-2)</x:f>
      </x:c>
      <x:c r="B256" s="16"/>
      <x:c r="C256" s="15"/>
      <x:c r="D256" s="15"/>
      <x:c r="E256" s="16"/>
      <x:c r="F256" s="15"/>
      <x:c r="G256" s="15"/>
      <x:c r="H256" s="15"/>
      <x:c r="I256" s="15"/>
      <x:c r="J256" s="15"/>
      <x:c r="K256" s="15"/>
      <x:c r="L256" s="17" t="str">
        <x:f>IF(M256="","",'参数'!$B$3+IF(ROW()=3,0,SUM($S$3:INDEX($S:$S,ROW()-1))))</x:f>
      </x:c>
      <x:c r="M256" s="17"/>
      <x:c r="N256" s="18"/>
      <x:c r="O256" s="19" t="str">
        <x:f>IF(OR(M256="",L256=""),"",M256/L256)</x:f>
      </x:c>
      <x:c r="P256" s="17" t="str">
        <x:f>IF(OR(M256="",N256=""),"",M256*N256)</x:f>
      </x:c>
      <x:c r="Q256" s="17"/>
      <x:c r="R256" s="17" t="str">
        <x:f>IF(OR(M256="",Q256="",Q256="未结算"),"",SWITCH(Q256,"赢",M256*N256,"输",0,"走水",M256,"取消",M256,"半赢",M256*(1+(N256-1)/2),"半输",M256*0.5,""))</x:f>
      </x:c>
      <x:c r="S256" s="17" t="str">
        <x:f>IF(R256="","",R256-M256)</x:f>
      </x:c>
      <x:c r="T256" s="19" t="str">
        <x:f>IF(OR(M256="",S256=""),"",S256/M256)</x:f>
      </x:c>
      <x:c r="U256" s="17" t="str">
        <x:f>IF(S256="","",'参数'!$B$3+SUM($S$3:S256))</x:f>
      </x:c>
      <x:c r="V256" s="15"/>
      <x:c r="W256" s="15"/>
      <x:c r="X256" s="15"/>
    </x:row>
    <x:row r="257" ht="25.5" customHeight="1">
      <x:c r="A257" s="15" t="str">
        <x:f>IF(D257="","",ROW()-2)</x:f>
      </x:c>
      <x:c r="B257" s="16"/>
      <x:c r="C257" s="15"/>
      <x:c r="D257" s="15"/>
      <x:c r="E257" s="16"/>
      <x:c r="F257" s="15"/>
      <x:c r="G257" s="15"/>
      <x:c r="H257" s="15"/>
      <x:c r="I257" s="15"/>
      <x:c r="J257" s="15"/>
      <x:c r="K257" s="15"/>
      <x:c r="L257" s="17" t="str">
        <x:f>IF(M257="","",'参数'!$B$3+IF(ROW()=3,0,SUM($S$3:INDEX($S:$S,ROW()-1))))</x:f>
      </x:c>
      <x:c r="M257" s="17"/>
      <x:c r="N257" s="18"/>
      <x:c r="O257" s="19" t="str">
        <x:f>IF(OR(M257="",L257=""),"",M257/L257)</x:f>
      </x:c>
      <x:c r="P257" s="17" t="str">
        <x:f>IF(OR(M257="",N257=""),"",M257*N257)</x:f>
      </x:c>
      <x:c r="Q257" s="17"/>
      <x:c r="R257" s="17" t="str">
        <x:f>IF(OR(M257="",Q257="",Q257="未结算"),"",SWITCH(Q257,"赢",M257*N257,"输",0,"走水",M257,"取消",M257,"半赢",M257*(1+(N257-1)/2),"半输",M257*0.5,""))</x:f>
      </x:c>
      <x:c r="S257" s="17" t="str">
        <x:f>IF(R257="","",R257-M257)</x:f>
      </x:c>
      <x:c r="T257" s="19" t="str">
        <x:f>IF(OR(M257="",S257=""),"",S257/M257)</x:f>
      </x:c>
      <x:c r="U257" s="17" t="str">
        <x:f>IF(S257="","",'参数'!$B$3+SUM($S$3:S257))</x:f>
      </x:c>
      <x:c r="V257" s="15"/>
      <x:c r="W257" s="15"/>
      <x:c r="X257" s="15"/>
    </x:row>
    <x:row r="258" ht="25.5" customHeight="1">
      <x:c r="A258" s="15" t="str">
        <x:f>IF(D258="","",ROW()-2)</x:f>
      </x:c>
      <x:c r="B258" s="16"/>
      <x:c r="C258" s="15"/>
      <x:c r="D258" s="15"/>
      <x:c r="E258" s="16"/>
      <x:c r="F258" s="15"/>
      <x:c r="G258" s="15"/>
      <x:c r="H258" s="15"/>
      <x:c r="I258" s="15"/>
      <x:c r="J258" s="15"/>
      <x:c r="K258" s="15"/>
      <x:c r="L258" s="17" t="str">
        <x:f>IF(M258="","",'参数'!$B$3+IF(ROW()=3,0,SUM($S$3:INDEX($S:$S,ROW()-1))))</x:f>
      </x:c>
      <x:c r="M258" s="17"/>
      <x:c r="N258" s="18"/>
      <x:c r="O258" s="19" t="str">
        <x:f>IF(OR(M258="",L258=""),"",M258/L258)</x:f>
      </x:c>
      <x:c r="P258" s="17" t="str">
        <x:f>IF(OR(M258="",N258=""),"",M258*N258)</x:f>
      </x:c>
      <x:c r="Q258" s="17"/>
      <x:c r="R258" s="17" t="str">
        <x:f>IF(OR(M258="",Q258="",Q258="未结算"),"",SWITCH(Q258,"赢",M258*N258,"输",0,"走水",M258,"取消",M258,"半赢",M258*(1+(N258-1)/2),"半输",M258*0.5,""))</x:f>
      </x:c>
      <x:c r="S258" s="17" t="str">
        <x:f>IF(R258="","",R258-M258)</x:f>
      </x:c>
      <x:c r="T258" s="19" t="str">
        <x:f>IF(OR(M258="",S258=""),"",S258/M258)</x:f>
      </x:c>
      <x:c r="U258" s="17" t="str">
        <x:f>IF(S258="","",'参数'!$B$3+SUM($S$3:S258))</x:f>
      </x:c>
      <x:c r="V258" s="15"/>
      <x:c r="W258" s="15"/>
      <x:c r="X258" s="15"/>
    </x:row>
    <x:row r="259" ht="25.5" customHeight="1">
      <x:c r="A259" s="15" t="str">
        <x:f>IF(D259="","",ROW()-2)</x:f>
      </x:c>
      <x:c r="B259" s="16"/>
      <x:c r="C259" s="15"/>
      <x:c r="D259" s="15"/>
      <x:c r="E259" s="16"/>
      <x:c r="F259" s="15"/>
      <x:c r="G259" s="15"/>
      <x:c r="H259" s="15"/>
      <x:c r="I259" s="15"/>
      <x:c r="J259" s="15"/>
      <x:c r="K259" s="15"/>
      <x:c r="L259" s="17" t="str">
        <x:f>IF(M259="","",'参数'!$B$3+IF(ROW()=3,0,SUM($S$3:INDEX($S:$S,ROW()-1))))</x:f>
      </x:c>
      <x:c r="M259" s="17"/>
      <x:c r="N259" s="18"/>
      <x:c r="O259" s="19" t="str">
        <x:f>IF(OR(M259="",L259=""),"",M259/L259)</x:f>
      </x:c>
      <x:c r="P259" s="17" t="str">
        <x:f>IF(OR(M259="",N259=""),"",M259*N259)</x:f>
      </x:c>
      <x:c r="Q259" s="17"/>
      <x:c r="R259" s="17" t="str">
        <x:f>IF(OR(M259="",Q259="",Q259="未结算"),"",SWITCH(Q259,"赢",M259*N259,"输",0,"走水",M259,"取消",M259,"半赢",M259*(1+(N259-1)/2),"半输",M259*0.5,""))</x:f>
      </x:c>
      <x:c r="S259" s="17" t="str">
        <x:f>IF(R259="","",R259-M259)</x:f>
      </x:c>
      <x:c r="T259" s="19" t="str">
        <x:f>IF(OR(M259="",S259=""),"",S259/M259)</x:f>
      </x:c>
      <x:c r="U259" s="17" t="str">
        <x:f>IF(S259="","",'参数'!$B$3+SUM($S$3:S259))</x:f>
      </x:c>
      <x:c r="V259" s="15"/>
      <x:c r="W259" s="15"/>
      <x:c r="X259" s="15"/>
    </x:row>
    <x:row r="260" ht="25.5" customHeight="1">
      <x:c r="A260" s="15" t="str">
        <x:f>IF(D260="","",ROW()-2)</x:f>
      </x:c>
      <x:c r="B260" s="16"/>
      <x:c r="C260" s="15"/>
      <x:c r="D260" s="15"/>
      <x:c r="E260" s="16"/>
      <x:c r="F260" s="15"/>
      <x:c r="G260" s="15"/>
      <x:c r="H260" s="15"/>
      <x:c r="I260" s="15"/>
      <x:c r="J260" s="15"/>
      <x:c r="K260" s="15"/>
      <x:c r="L260" s="17" t="str">
        <x:f>IF(M260="","",'参数'!$B$3+IF(ROW()=3,0,SUM($S$3:INDEX($S:$S,ROW()-1))))</x:f>
      </x:c>
      <x:c r="M260" s="17"/>
      <x:c r="N260" s="18"/>
      <x:c r="O260" s="19" t="str">
        <x:f>IF(OR(M260="",L260=""),"",M260/L260)</x:f>
      </x:c>
      <x:c r="P260" s="17" t="str">
        <x:f>IF(OR(M260="",N260=""),"",M260*N260)</x:f>
      </x:c>
      <x:c r="Q260" s="17"/>
      <x:c r="R260" s="17" t="str">
        <x:f>IF(OR(M260="",Q260="",Q260="未结算"),"",SWITCH(Q260,"赢",M260*N260,"输",0,"走水",M260,"取消",M260,"半赢",M260*(1+(N260-1)/2),"半输",M260*0.5,""))</x:f>
      </x:c>
      <x:c r="S260" s="17" t="str">
        <x:f>IF(R260="","",R260-M260)</x:f>
      </x:c>
      <x:c r="T260" s="19" t="str">
        <x:f>IF(OR(M260="",S260=""),"",S260/M260)</x:f>
      </x:c>
      <x:c r="U260" s="17" t="str">
        <x:f>IF(S260="","",'参数'!$B$3+SUM($S$3:S260))</x:f>
      </x:c>
      <x:c r="V260" s="15"/>
      <x:c r="W260" s="15"/>
      <x:c r="X260" s="15"/>
    </x:row>
    <x:row r="261" ht="25.5" customHeight="1">
      <x:c r="A261" s="15" t="str">
        <x:f>IF(D261="","",ROW()-2)</x:f>
      </x:c>
      <x:c r="B261" s="16"/>
      <x:c r="C261" s="15"/>
      <x:c r="D261" s="15"/>
      <x:c r="E261" s="16"/>
      <x:c r="F261" s="15"/>
      <x:c r="G261" s="15"/>
      <x:c r="H261" s="15"/>
      <x:c r="I261" s="15"/>
      <x:c r="J261" s="15"/>
      <x:c r="K261" s="15"/>
      <x:c r="L261" s="17" t="str">
        <x:f>IF(M261="","",'参数'!$B$3+IF(ROW()=3,0,SUM($S$3:INDEX($S:$S,ROW()-1))))</x:f>
      </x:c>
      <x:c r="M261" s="17"/>
      <x:c r="N261" s="18"/>
      <x:c r="O261" s="19" t="str">
        <x:f>IF(OR(M261="",L261=""),"",M261/L261)</x:f>
      </x:c>
      <x:c r="P261" s="17" t="str">
        <x:f>IF(OR(M261="",N261=""),"",M261*N261)</x:f>
      </x:c>
      <x:c r="Q261" s="17"/>
      <x:c r="R261" s="17" t="str">
        <x:f>IF(OR(M261="",Q261="",Q261="未结算"),"",SWITCH(Q261,"赢",M261*N261,"输",0,"走水",M261,"取消",M261,"半赢",M261*(1+(N261-1)/2),"半输",M261*0.5,""))</x:f>
      </x:c>
      <x:c r="S261" s="17" t="str">
        <x:f>IF(R261="","",R261-M261)</x:f>
      </x:c>
      <x:c r="T261" s="19" t="str">
        <x:f>IF(OR(M261="",S261=""),"",S261/M261)</x:f>
      </x:c>
      <x:c r="U261" s="17" t="str">
        <x:f>IF(S261="","",'参数'!$B$3+SUM($S$3:S261))</x:f>
      </x:c>
      <x:c r="V261" s="15"/>
      <x:c r="W261" s="15"/>
      <x:c r="X261" s="15"/>
    </x:row>
    <x:row r="262" ht="25.5" customHeight="1">
      <x:c r="A262" s="15" t="str">
        <x:f>IF(D262="","",ROW()-2)</x:f>
      </x:c>
      <x:c r="B262" s="16"/>
      <x:c r="C262" s="15"/>
      <x:c r="D262" s="15"/>
      <x:c r="E262" s="16"/>
      <x:c r="F262" s="15"/>
      <x:c r="G262" s="15"/>
      <x:c r="H262" s="15"/>
      <x:c r="I262" s="15"/>
      <x:c r="J262" s="15"/>
      <x:c r="K262" s="15"/>
      <x:c r="L262" s="17" t="str">
        <x:f>IF(M262="","",'参数'!$B$3+IF(ROW()=3,0,SUM($S$3:INDEX($S:$S,ROW()-1))))</x:f>
      </x:c>
      <x:c r="M262" s="17"/>
      <x:c r="N262" s="18"/>
      <x:c r="O262" s="19" t="str">
        <x:f>IF(OR(M262="",L262=""),"",M262/L262)</x:f>
      </x:c>
      <x:c r="P262" s="17" t="str">
        <x:f>IF(OR(M262="",N262=""),"",M262*N262)</x:f>
      </x:c>
      <x:c r="Q262" s="17"/>
      <x:c r="R262" s="17" t="str">
        <x:f>IF(OR(M262="",Q262="",Q262="未结算"),"",SWITCH(Q262,"赢",M262*N262,"输",0,"走水",M262,"取消",M262,"半赢",M262*(1+(N262-1)/2),"半输",M262*0.5,""))</x:f>
      </x:c>
      <x:c r="S262" s="17" t="str">
        <x:f>IF(R262="","",R262-M262)</x:f>
      </x:c>
      <x:c r="T262" s="19" t="str">
        <x:f>IF(OR(M262="",S262=""),"",S262/M262)</x:f>
      </x:c>
      <x:c r="U262" s="17" t="str">
        <x:f>IF(S262="","",'参数'!$B$3+SUM($S$3:S262))</x:f>
      </x:c>
      <x:c r="V262" s="15"/>
      <x:c r="W262" s="15"/>
      <x:c r="X262" s="15"/>
    </x:row>
    <x:row r="263" ht="25.5" customHeight="1">
      <x:c r="A263" s="15" t="str">
        <x:f>IF(D263="","",ROW()-2)</x:f>
      </x:c>
      <x:c r="B263" s="16"/>
      <x:c r="C263" s="15"/>
      <x:c r="D263" s="15"/>
      <x:c r="E263" s="16"/>
      <x:c r="F263" s="15"/>
      <x:c r="G263" s="15"/>
      <x:c r="H263" s="15"/>
      <x:c r="I263" s="15"/>
      <x:c r="J263" s="15"/>
      <x:c r="K263" s="15"/>
      <x:c r="L263" s="17" t="str">
        <x:f>IF(M263="","",'参数'!$B$3+IF(ROW()=3,0,SUM($S$3:INDEX($S:$S,ROW()-1))))</x:f>
      </x:c>
      <x:c r="M263" s="17"/>
      <x:c r="N263" s="18"/>
      <x:c r="O263" s="19" t="str">
        <x:f>IF(OR(M263="",L263=""),"",M263/L263)</x:f>
      </x:c>
      <x:c r="P263" s="17" t="str">
        <x:f>IF(OR(M263="",N263=""),"",M263*N263)</x:f>
      </x:c>
      <x:c r="Q263" s="17"/>
      <x:c r="R263" s="17" t="str">
        <x:f>IF(OR(M263="",Q263="",Q263="未结算"),"",SWITCH(Q263,"赢",M263*N263,"输",0,"走水",M263,"取消",M263,"半赢",M263*(1+(N263-1)/2),"半输",M263*0.5,""))</x:f>
      </x:c>
      <x:c r="S263" s="17" t="str">
        <x:f>IF(R263="","",R263-M263)</x:f>
      </x:c>
      <x:c r="T263" s="19" t="str">
        <x:f>IF(OR(M263="",S263=""),"",S263/M263)</x:f>
      </x:c>
      <x:c r="U263" s="17" t="str">
        <x:f>IF(S263="","",'参数'!$B$3+SUM($S$3:S263))</x:f>
      </x:c>
      <x:c r="V263" s="15"/>
      <x:c r="W263" s="15"/>
      <x:c r="X263" s="15"/>
    </x:row>
    <x:row r="264" ht="25.5" customHeight="1">
      <x:c r="A264" s="15" t="str">
        <x:f>IF(D264="","",ROW()-2)</x:f>
      </x:c>
      <x:c r="B264" s="16"/>
      <x:c r="C264" s="15"/>
      <x:c r="D264" s="15"/>
      <x:c r="E264" s="16"/>
      <x:c r="F264" s="15"/>
      <x:c r="G264" s="15"/>
      <x:c r="H264" s="15"/>
      <x:c r="I264" s="15"/>
      <x:c r="J264" s="15"/>
      <x:c r="K264" s="15"/>
      <x:c r="L264" s="17" t="str">
        <x:f>IF(M264="","",'参数'!$B$3+IF(ROW()=3,0,SUM($S$3:INDEX($S:$S,ROW()-1))))</x:f>
      </x:c>
      <x:c r="M264" s="17"/>
      <x:c r="N264" s="18"/>
      <x:c r="O264" s="19" t="str">
        <x:f>IF(OR(M264="",L264=""),"",M264/L264)</x:f>
      </x:c>
      <x:c r="P264" s="17" t="str">
        <x:f>IF(OR(M264="",N264=""),"",M264*N264)</x:f>
      </x:c>
      <x:c r="Q264" s="17"/>
      <x:c r="R264" s="17" t="str">
        <x:f>IF(OR(M264="",Q264="",Q264="未结算"),"",SWITCH(Q264,"赢",M264*N264,"输",0,"走水",M264,"取消",M264,"半赢",M264*(1+(N264-1)/2),"半输",M264*0.5,""))</x:f>
      </x:c>
      <x:c r="S264" s="17" t="str">
        <x:f>IF(R264="","",R264-M264)</x:f>
      </x:c>
      <x:c r="T264" s="19" t="str">
        <x:f>IF(OR(M264="",S264=""),"",S264/M264)</x:f>
      </x:c>
      <x:c r="U264" s="17" t="str">
        <x:f>IF(S264="","",'参数'!$B$3+SUM($S$3:S264))</x:f>
      </x:c>
      <x:c r="V264" s="15"/>
      <x:c r="W264" s="15"/>
      <x:c r="X264" s="15"/>
    </x:row>
    <x:row r="265" ht="25.5" customHeight="1">
      <x:c r="A265" s="15" t="str">
        <x:f>IF(D265="","",ROW()-2)</x:f>
      </x:c>
      <x:c r="B265" s="16"/>
      <x:c r="C265" s="15"/>
      <x:c r="D265" s="15"/>
      <x:c r="E265" s="16"/>
      <x:c r="F265" s="15"/>
      <x:c r="G265" s="15"/>
      <x:c r="H265" s="15"/>
      <x:c r="I265" s="15"/>
      <x:c r="J265" s="15"/>
      <x:c r="K265" s="15"/>
      <x:c r="L265" s="17" t="str">
        <x:f>IF(M265="","",'参数'!$B$3+IF(ROW()=3,0,SUM($S$3:INDEX($S:$S,ROW()-1))))</x:f>
      </x:c>
      <x:c r="M265" s="17"/>
      <x:c r="N265" s="18"/>
      <x:c r="O265" s="19" t="str">
        <x:f>IF(OR(M265="",L265=""),"",M265/L265)</x:f>
      </x:c>
      <x:c r="P265" s="17" t="str">
        <x:f>IF(OR(M265="",N265=""),"",M265*N265)</x:f>
      </x:c>
      <x:c r="Q265" s="17"/>
      <x:c r="R265" s="17" t="str">
        <x:f>IF(OR(M265="",Q265="",Q265="未结算"),"",SWITCH(Q265,"赢",M265*N265,"输",0,"走水",M265,"取消",M265,"半赢",M265*(1+(N265-1)/2),"半输",M265*0.5,""))</x:f>
      </x:c>
      <x:c r="S265" s="17" t="str">
        <x:f>IF(R265="","",R265-M265)</x:f>
      </x:c>
      <x:c r="T265" s="19" t="str">
        <x:f>IF(OR(M265="",S265=""),"",S265/M265)</x:f>
      </x:c>
      <x:c r="U265" s="17" t="str">
        <x:f>IF(S265="","",'参数'!$B$3+SUM($S$3:S265))</x:f>
      </x:c>
      <x:c r="V265" s="15"/>
      <x:c r="W265" s="15"/>
      <x:c r="X265" s="15"/>
    </x:row>
    <x:row r="266" ht="25.5" customHeight="1">
      <x:c r="A266" s="15" t="str">
        <x:f>IF(D266="","",ROW()-2)</x:f>
      </x:c>
      <x:c r="B266" s="16"/>
      <x:c r="C266" s="15"/>
      <x:c r="D266" s="15"/>
      <x:c r="E266" s="16"/>
      <x:c r="F266" s="15"/>
      <x:c r="G266" s="15"/>
      <x:c r="H266" s="15"/>
      <x:c r="I266" s="15"/>
      <x:c r="J266" s="15"/>
      <x:c r="K266" s="15"/>
      <x:c r="L266" s="17" t="str">
        <x:f>IF(M266="","",'参数'!$B$3+IF(ROW()=3,0,SUM($S$3:INDEX($S:$S,ROW()-1))))</x:f>
      </x:c>
      <x:c r="M266" s="17"/>
      <x:c r="N266" s="18"/>
      <x:c r="O266" s="19" t="str">
        <x:f>IF(OR(M266="",L266=""),"",M266/L266)</x:f>
      </x:c>
      <x:c r="P266" s="17" t="str">
        <x:f>IF(OR(M266="",N266=""),"",M266*N266)</x:f>
      </x:c>
      <x:c r="Q266" s="17"/>
      <x:c r="R266" s="17" t="str">
        <x:f>IF(OR(M266="",Q266="",Q266="未结算"),"",SWITCH(Q266,"赢",M266*N266,"输",0,"走水",M266,"取消",M266,"半赢",M266*(1+(N266-1)/2),"半输",M266*0.5,""))</x:f>
      </x:c>
      <x:c r="S266" s="17" t="str">
        <x:f>IF(R266="","",R266-M266)</x:f>
      </x:c>
      <x:c r="T266" s="19" t="str">
        <x:f>IF(OR(M266="",S266=""),"",S266/M266)</x:f>
      </x:c>
      <x:c r="U266" s="17" t="str">
        <x:f>IF(S266="","",'参数'!$B$3+SUM($S$3:S266))</x:f>
      </x:c>
      <x:c r="V266" s="15"/>
      <x:c r="W266" s="15"/>
      <x:c r="X266" s="15"/>
    </x:row>
    <x:row r="267" ht="25.5" customHeight="1">
      <x:c r="A267" s="15" t="str">
        <x:f>IF(D267="","",ROW()-2)</x:f>
      </x:c>
      <x:c r="B267" s="16"/>
      <x:c r="C267" s="15"/>
      <x:c r="D267" s="15"/>
      <x:c r="E267" s="16"/>
      <x:c r="F267" s="15"/>
      <x:c r="G267" s="15"/>
      <x:c r="H267" s="15"/>
      <x:c r="I267" s="15"/>
      <x:c r="J267" s="15"/>
      <x:c r="K267" s="15"/>
      <x:c r="L267" s="17" t="str">
        <x:f>IF(M267="","",'参数'!$B$3+IF(ROW()=3,0,SUM($S$3:INDEX($S:$S,ROW()-1))))</x:f>
      </x:c>
      <x:c r="M267" s="17"/>
      <x:c r="N267" s="18"/>
      <x:c r="O267" s="19" t="str">
        <x:f>IF(OR(M267="",L267=""),"",M267/L267)</x:f>
      </x:c>
      <x:c r="P267" s="17" t="str">
        <x:f>IF(OR(M267="",N267=""),"",M267*N267)</x:f>
      </x:c>
      <x:c r="Q267" s="17"/>
      <x:c r="R267" s="17" t="str">
        <x:f>IF(OR(M267="",Q267="",Q267="未结算"),"",SWITCH(Q267,"赢",M267*N267,"输",0,"走水",M267,"取消",M267,"半赢",M267*(1+(N267-1)/2),"半输",M267*0.5,""))</x:f>
      </x:c>
      <x:c r="S267" s="17" t="str">
        <x:f>IF(R267="","",R267-M267)</x:f>
      </x:c>
      <x:c r="T267" s="19" t="str">
        <x:f>IF(OR(M267="",S267=""),"",S267/M267)</x:f>
      </x:c>
      <x:c r="U267" s="17" t="str">
        <x:f>IF(S267="","",'参数'!$B$3+SUM($S$3:S267))</x:f>
      </x:c>
      <x:c r="V267" s="15"/>
      <x:c r="W267" s="15"/>
      <x:c r="X267" s="15"/>
    </x:row>
    <x:row r="268" ht="25.5" customHeight="1">
      <x:c r="A268" s="15" t="str">
        <x:f>IF(D268="","",ROW()-2)</x:f>
      </x:c>
      <x:c r="B268" s="16"/>
      <x:c r="C268" s="15"/>
      <x:c r="D268" s="15"/>
      <x:c r="E268" s="16"/>
      <x:c r="F268" s="15"/>
      <x:c r="G268" s="15"/>
      <x:c r="H268" s="15"/>
      <x:c r="I268" s="15"/>
      <x:c r="J268" s="15"/>
      <x:c r="K268" s="15"/>
      <x:c r="L268" s="17" t="str">
        <x:f>IF(M268="","",'参数'!$B$3+IF(ROW()=3,0,SUM($S$3:INDEX($S:$S,ROW()-1))))</x:f>
      </x:c>
      <x:c r="M268" s="17"/>
      <x:c r="N268" s="18"/>
      <x:c r="O268" s="19" t="str">
        <x:f>IF(OR(M268="",L268=""),"",M268/L268)</x:f>
      </x:c>
      <x:c r="P268" s="17" t="str">
        <x:f>IF(OR(M268="",N268=""),"",M268*N268)</x:f>
      </x:c>
      <x:c r="Q268" s="17"/>
      <x:c r="R268" s="17" t="str">
        <x:f>IF(OR(M268="",Q268="",Q268="未结算"),"",SWITCH(Q268,"赢",M268*N268,"输",0,"走水",M268,"取消",M268,"半赢",M268*(1+(N268-1)/2),"半输",M268*0.5,""))</x:f>
      </x:c>
      <x:c r="S268" s="17" t="str">
        <x:f>IF(R268="","",R268-M268)</x:f>
      </x:c>
      <x:c r="T268" s="19" t="str">
        <x:f>IF(OR(M268="",S268=""),"",S268/M268)</x:f>
      </x:c>
      <x:c r="U268" s="17" t="str">
        <x:f>IF(S268="","",'参数'!$B$3+SUM($S$3:S268))</x:f>
      </x:c>
      <x:c r="V268" s="15"/>
      <x:c r="W268" s="15"/>
      <x:c r="X268" s="15"/>
    </x:row>
    <x:row r="269" ht="25.5" customHeight="1">
      <x:c r="A269" s="15" t="str">
        <x:f>IF(D269="","",ROW()-2)</x:f>
      </x:c>
      <x:c r="B269" s="16"/>
      <x:c r="C269" s="15"/>
      <x:c r="D269" s="15"/>
      <x:c r="E269" s="16"/>
      <x:c r="F269" s="15"/>
      <x:c r="G269" s="15"/>
      <x:c r="H269" s="15"/>
      <x:c r="I269" s="15"/>
      <x:c r="J269" s="15"/>
      <x:c r="K269" s="15"/>
      <x:c r="L269" s="17" t="str">
        <x:f>IF(M269="","",'参数'!$B$3+IF(ROW()=3,0,SUM($S$3:INDEX($S:$S,ROW()-1))))</x:f>
      </x:c>
      <x:c r="M269" s="17"/>
      <x:c r="N269" s="18"/>
      <x:c r="O269" s="19" t="str">
        <x:f>IF(OR(M269="",L269=""),"",M269/L269)</x:f>
      </x:c>
      <x:c r="P269" s="17" t="str">
        <x:f>IF(OR(M269="",N269=""),"",M269*N269)</x:f>
      </x:c>
      <x:c r="Q269" s="17"/>
      <x:c r="R269" s="17" t="str">
        <x:f>IF(OR(M269="",Q269="",Q269="未结算"),"",SWITCH(Q269,"赢",M269*N269,"输",0,"走水",M269,"取消",M269,"半赢",M269*(1+(N269-1)/2),"半输",M269*0.5,""))</x:f>
      </x:c>
      <x:c r="S269" s="17" t="str">
        <x:f>IF(R269="","",R269-M269)</x:f>
      </x:c>
      <x:c r="T269" s="19" t="str">
        <x:f>IF(OR(M269="",S269=""),"",S269/M269)</x:f>
      </x:c>
      <x:c r="U269" s="17" t="str">
        <x:f>IF(S269="","",'参数'!$B$3+SUM($S$3:S269))</x:f>
      </x:c>
      <x:c r="V269" s="15"/>
      <x:c r="W269" s="15"/>
      <x:c r="X269" s="15"/>
    </x:row>
    <x:row r="270" ht="25.5" customHeight="1">
      <x:c r="A270" s="15" t="str">
        <x:f>IF(D270="","",ROW()-2)</x:f>
      </x:c>
      <x:c r="B270" s="16"/>
      <x:c r="C270" s="15"/>
      <x:c r="D270" s="15"/>
      <x:c r="E270" s="16"/>
      <x:c r="F270" s="15"/>
      <x:c r="G270" s="15"/>
      <x:c r="H270" s="15"/>
      <x:c r="I270" s="15"/>
      <x:c r="J270" s="15"/>
      <x:c r="K270" s="15"/>
      <x:c r="L270" s="17" t="str">
        <x:f>IF(M270="","",'参数'!$B$3+IF(ROW()=3,0,SUM($S$3:INDEX($S:$S,ROW()-1))))</x:f>
      </x:c>
      <x:c r="M270" s="17"/>
      <x:c r="N270" s="18"/>
      <x:c r="O270" s="19" t="str">
        <x:f>IF(OR(M270="",L270=""),"",M270/L270)</x:f>
      </x:c>
      <x:c r="P270" s="17" t="str">
        <x:f>IF(OR(M270="",N270=""),"",M270*N270)</x:f>
      </x:c>
      <x:c r="Q270" s="17"/>
      <x:c r="R270" s="17" t="str">
        <x:f>IF(OR(M270="",Q270="",Q270="未结算"),"",SWITCH(Q270,"赢",M270*N270,"输",0,"走水",M270,"取消",M270,"半赢",M270*(1+(N270-1)/2),"半输",M270*0.5,""))</x:f>
      </x:c>
      <x:c r="S270" s="17" t="str">
        <x:f>IF(R270="","",R270-M270)</x:f>
      </x:c>
      <x:c r="T270" s="19" t="str">
        <x:f>IF(OR(M270="",S270=""),"",S270/M270)</x:f>
      </x:c>
      <x:c r="U270" s="17" t="str">
        <x:f>IF(S270="","",'参数'!$B$3+SUM($S$3:S270))</x:f>
      </x:c>
      <x:c r="V270" s="15"/>
      <x:c r="W270" s="15"/>
      <x:c r="X270" s="15"/>
    </x:row>
    <x:row r="271" ht="25.5" customHeight="1">
      <x:c r="A271" s="15" t="str">
        <x:f>IF(D271="","",ROW()-2)</x:f>
      </x:c>
      <x:c r="B271" s="16"/>
      <x:c r="C271" s="15"/>
      <x:c r="D271" s="15"/>
      <x:c r="E271" s="16"/>
      <x:c r="F271" s="15"/>
      <x:c r="G271" s="15"/>
      <x:c r="H271" s="15"/>
      <x:c r="I271" s="15"/>
      <x:c r="J271" s="15"/>
      <x:c r="K271" s="15"/>
      <x:c r="L271" s="17" t="str">
        <x:f>IF(M271="","",'参数'!$B$3+IF(ROW()=3,0,SUM($S$3:INDEX($S:$S,ROW()-1))))</x:f>
      </x:c>
      <x:c r="M271" s="17"/>
      <x:c r="N271" s="18"/>
      <x:c r="O271" s="19" t="str">
        <x:f>IF(OR(M271="",L271=""),"",M271/L271)</x:f>
      </x:c>
      <x:c r="P271" s="17" t="str">
        <x:f>IF(OR(M271="",N271=""),"",M271*N271)</x:f>
      </x:c>
      <x:c r="Q271" s="17"/>
      <x:c r="R271" s="17" t="str">
        <x:f>IF(OR(M271="",Q271="",Q271="未结算"),"",SWITCH(Q271,"赢",M271*N271,"输",0,"走水",M271,"取消",M271,"半赢",M271*(1+(N271-1)/2),"半输",M271*0.5,""))</x:f>
      </x:c>
      <x:c r="S271" s="17" t="str">
        <x:f>IF(R271="","",R271-M271)</x:f>
      </x:c>
      <x:c r="T271" s="19" t="str">
        <x:f>IF(OR(M271="",S271=""),"",S271/M271)</x:f>
      </x:c>
      <x:c r="U271" s="17" t="str">
        <x:f>IF(S271="","",'参数'!$B$3+SUM($S$3:S271))</x:f>
      </x:c>
      <x:c r="V271" s="15"/>
      <x:c r="W271" s="15"/>
      <x:c r="X271" s="15"/>
    </x:row>
    <x:row r="272" ht="25.5" customHeight="1">
      <x:c r="A272" s="15" t="str">
        <x:f>IF(D272="","",ROW()-2)</x:f>
      </x:c>
      <x:c r="B272" s="16"/>
      <x:c r="C272" s="15"/>
      <x:c r="D272" s="15"/>
      <x:c r="E272" s="16"/>
      <x:c r="F272" s="15"/>
      <x:c r="G272" s="15"/>
      <x:c r="H272" s="15"/>
      <x:c r="I272" s="15"/>
      <x:c r="J272" s="15"/>
      <x:c r="K272" s="15"/>
      <x:c r="L272" s="17" t="str">
        <x:f>IF(M272="","",'参数'!$B$3+IF(ROW()=3,0,SUM($S$3:INDEX($S:$S,ROW()-1))))</x:f>
      </x:c>
      <x:c r="M272" s="17"/>
      <x:c r="N272" s="18"/>
      <x:c r="O272" s="19" t="str">
        <x:f>IF(OR(M272="",L272=""),"",M272/L272)</x:f>
      </x:c>
      <x:c r="P272" s="17" t="str">
        <x:f>IF(OR(M272="",N272=""),"",M272*N272)</x:f>
      </x:c>
      <x:c r="Q272" s="17"/>
      <x:c r="R272" s="17" t="str">
        <x:f>IF(OR(M272="",Q272="",Q272="未结算"),"",SWITCH(Q272,"赢",M272*N272,"输",0,"走水",M272,"取消",M272,"半赢",M272*(1+(N272-1)/2),"半输",M272*0.5,""))</x:f>
      </x:c>
      <x:c r="S272" s="17" t="str">
        <x:f>IF(R272="","",R272-M272)</x:f>
      </x:c>
      <x:c r="T272" s="19" t="str">
        <x:f>IF(OR(M272="",S272=""),"",S272/M272)</x:f>
      </x:c>
      <x:c r="U272" s="17" t="str">
        <x:f>IF(S272="","",'参数'!$B$3+SUM($S$3:S272))</x:f>
      </x:c>
      <x:c r="V272" s="15"/>
      <x:c r="W272" s="15"/>
      <x:c r="X272" s="15"/>
    </x:row>
    <x:row r="273" ht="25.5" customHeight="1">
      <x:c r="A273" s="15" t="str">
        <x:f>IF(D273="","",ROW()-2)</x:f>
      </x:c>
      <x:c r="B273" s="16"/>
      <x:c r="C273" s="15"/>
      <x:c r="D273" s="15"/>
      <x:c r="E273" s="16"/>
      <x:c r="F273" s="15"/>
      <x:c r="G273" s="15"/>
      <x:c r="H273" s="15"/>
      <x:c r="I273" s="15"/>
      <x:c r="J273" s="15"/>
      <x:c r="K273" s="15"/>
      <x:c r="L273" s="17" t="str">
        <x:f>IF(M273="","",'参数'!$B$3+IF(ROW()=3,0,SUM($S$3:INDEX($S:$S,ROW()-1))))</x:f>
      </x:c>
      <x:c r="M273" s="17"/>
      <x:c r="N273" s="18"/>
      <x:c r="O273" s="19" t="str">
        <x:f>IF(OR(M273="",L273=""),"",M273/L273)</x:f>
      </x:c>
      <x:c r="P273" s="17" t="str">
        <x:f>IF(OR(M273="",N273=""),"",M273*N273)</x:f>
      </x:c>
      <x:c r="Q273" s="17"/>
      <x:c r="R273" s="17" t="str">
        <x:f>IF(OR(M273="",Q273="",Q273="未结算"),"",SWITCH(Q273,"赢",M273*N273,"输",0,"走水",M273,"取消",M273,"半赢",M273*(1+(N273-1)/2),"半输",M273*0.5,""))</x:f>
      </x:c>
      <x:c r="S273" s="17" t="str">
        <x:f>IF(R273="","",R273-M273)</x:f>
      </x:c>
      <x:c r="T273" s="19" t="str">
        <x:f>IF(OR(M273="",S273=""),"",S273/M273)</x:f>
      </x:c>
      <x:c r="U273" s="17" t="str">
        <x:f>IF(S273="","",'参数'!$B$3+SUM($S$3:S273))</x:f>
      </x:c>
      <x:c r="V273" s="15"/>
      <x:c r="W273" s="15"/>
      <x:c r="X273" s="15"/>
    </x:row>
    <x:row r="274" ht="25.5" customHeight="1">
      <x:c r="A274" s="15" t="str">
        <x:f>IF(D274="","",ROW()-2)</x:f>
      </x:c>
      <x:c r="B274" s="16"/>
      <x:c r="C274" s="15"/>
      <x:c r="D274" s="15"/>
      <x:c r="E274" s="16"/>
      <x:c r="F274" s="15"/>
      <x:c r="G274" s="15"/>
      <x:c r="H274" s="15"/>
      <x:c r="I274" s="15"/>
      <x:c r="J274" s="15"/>
      <x:c r="K274" s="15"/>
      <x:c r="L274" s="17" t="str">
        <x:f>IF(M274="","",'参数'!$B$3+IF(ROW()=3,0,SUM($S$3:INDEX($S:$S,ROW()-1))))</x:f>
      </x:c>
      <x:c r="M274" s="17"/>
      <x:c r="N274" s="18"/>
      <x:c r="O274" s="19" t="str">
        <x:f>IF(OR(M274="",L274=""),"",M274/L274)</x:f>
      </x:c>
      <x:c r="P274" s="17" t="str">
        <x:f>IF(OR(M274="",N274=""),"",M274*N274)</x:f>
      </x:c>
      <x:c r="Q274" s="17"/>
      <x:c r="R274" s="17" t="str">
        <x:f>IF(OR(M274="",Q274="",Q274="未结算"),"",SWITCH(Q274,"赢",M274*N274,"输",0,"走水",M274,"取消",M274,"半赢",M274*(1+(N274-1)/2),"半输",M274*0.5,""))</x:f>
      </x:c>
      <x:c r="S274" s="17" t="str">
        <x:f>IF(R274="","",R274-M274)</x:f>
      </x:c>
      <x:c r="T274" s="19" t="str">
        <x:f>IF(OR(M274="",S274=""),"",S274/M274)</x:f>
      </x:c>
      <x:c r="U274" s="17" t="str">
        <x:f>IF(S274="","",'参数'!$B$3+SUM($S$3:S274))</x:f>
      </x:c>
      <x:c r="V274" s="15"/>
      <x:c r="W274" s="15"/>
      <x:c r="X274" s="15"/>
    </x:row>
    <x:row r="275" ht="25.5" customHeight="1">
      <x:c r="A275" s="15" t="str">
        <x:f>IF(D275="","",ROW()-2)</x:f>
      </x:c>
      <x:c r="B275" s="16"/>
      <x:c r="C275" s="15"/>
      <x:c r="D275" s="15"/>
      <x:c r="E275" s="16"/>
      <x:c r="F275" s="15"/>
      <x:c r="G275" s="15"/>
      <x:c r="H275" s="15"/>
      <x:c r="I275" s="15"/>
      <x:c r="J275" s="15"/>
      <x:c r="K275" s="15"/>
      <x:c r="L275" s="17" t="str">
        <x:f>IF(M275="","",'参数'!$B$3+IF(ROW()=3,0,SUM($S$3:INDEX($S:$S,ROW()-1))))</x:f>
      </x:c>
      <x:c r="M275" s="17"/>
      <x:c r="N275" s="18"/>
      <x:c r="O275" s="19" t="str">
        <x:f>IF(OR(M275="",L275=""),"",M275/L275)</x:f>
      </x:c>
      <x:c r="P275" s="17" t="str">
        <x:f>IF(OR(M275="",N275=""),"",M275*N275)</x:f>
      </x:c>
      <x:c r="Q275" s="17"/>
      <x:c r="R275" s="17" t="str">
        <x:f>IF(OR(M275="",Q275="",Q275="未结算"),"",SWITCH(Q275,"赢",M275*N275,"输",0,"走水",M275,"取消",M275,"半赢",M275*(1+(N275-1)/2),"半输",M275*0.5,""))</x:f>
      </x:c>
      <x:c r="S275" s="17" t="str">
        <x:f>IF(R275="","",R275-M275)</x:f>
      </x:c>
      <x:c r="T275" s="19" t="str">
        <x:f>IF(OR(M275="",S275=""),"",S275/M275)</x:f>
      </x:c>
      <x:c r="U275" s="17" t="str">
        <x:f>IF(S275="","",'参数'!$B$3+SUM($S$3:S275))</x:f>
      </x:c>
      <x:c r="V275" s="15"/>
      <x:c r="W275" s="15"/>
      <x:c r="X275" s="15"/>
    </x:row>
    <x:row r="276" ht="25.5" customHeight="1">
      <x:c r="A276" s="15" t="str">
        <x:f>IF(D276="","",ROW()-2)</x:f>
      </x:c>
      <x:c r="B276" s="16"/>
      <x:c r="C276" s="15"/>
      <x:c r="D276" s="15"/>
      <x:c r="E276" s="16"/>
      <x:c r="F276" s="15"/>
      <x:c r="G276" s="15"/>
      <x:c r="H276" s="15"/>
      <x:c r="I276" s="15"/>
      <x:c r="J276" s="15"/>
      <x:c r="K276" s="15"/>
      <x:c r="L276" s="17" t="str">
        <x:f>IF(M276="","",'参数'!$B$3+IF(ROW()=3,0,SUM($S$3:INDEX($S:$S,ROW()-1))))</x:f>
      </x:c>
      <x:c r="M276" s="17"/>
      <x:c r="N276" s="18"/>
      <x:c r="O276" s="19" t="str">
        <x:f>IF(OR(M276="",L276=""),"",M276/L276)</x:f>
      </x:c>
      <x:c r="P276" s="17" t="str">
        <x:f>IF(OR(M276="",N276=""),"",M276*N276)</x:f>
      </x:c>
      <x:c r="Q276" s="17"/>
      <x:c r="R276" s="17" t="str">
        <x:f>IF(OR(M276="",Q276="",Q276="未结算"),"",SWITCH(Q276,"赢",M276*N276,"输",0,"走水",M276,"取消",M276,"半赢",M276*(1+(N276-1)/2),"半输",M276*0.5,""))</x:f>
      </x:c>
      <x:c r="S276" s="17" t="str">
        <x:f>IF(R276="","",R276-M276)</x:f>
      </x:c>
      <x:c r="T276" s="19" t="str">
        <x:f>IF(OR(M276="",S276=""),"",S276/M276)</x:f>
      </x:c>
      <x:c r="U276" s="17" t="str">
        <x:f>IF(S276="","",'参数'!$B$3+SUM($S$3:S276))</x:f>
      </x:c>
      <x:c r="V276" s="15"/>
      <x:c r="W276" s="15"/>
      <x:c r="X276" s="15"/>
    </x:row>
    <x:row r="277" ht="25.5" customHeight="1">
      <x:c r="A277" s="15" t="str">
        <x:f>IF(D277="","",ROW()-2)</x:f>
      </x:c>
      <x:c r="B277" s="16"/>
      <x:c r="C277" s="15"/>
      <x:c r="D277" s="15"/>
      <x:c r="E277" s="16"/>
      <x:c r="F277" s="15"/>
      <x:c r="G277" s="15"/>
      <x:c r="H277" s="15"/>
      <x:c r="I277" s="15"/>
      <x:c r="J277" s="15"/>
      <x:c r="K277" s="15"/>
      <x:c r="L277" s="17" t="str">
        <x:f>IF(M277="","",'参数'!$B$3+IF(ROW()=3,0,SUM($S$3:INDEX($S:$S,ROW()-1))))</x:f>
      </x:c>
      <x:c r="M277" s="17"/>
      <x:c r="N277" s="18"/>
      <x:c r="O277" s="19" t="str">
        <x:f>IF(OR(M277="",L277=""),"",M277/L277)</x:f>
      </x:c>
      <x:c r="P277" s="17" t="str">
        <x:f>IF(OR(M277="",N277=""),"",M277*N277)</x:f>
      </x:c>
      <x:c r="Q277" s="17"/>
      <x:c r="R277" s="17" t="str">
        <x:f>IF(OR(M277="",Q277="",Q277="未结算"),"",SWITCH(Q277,"赢",M277*N277,"输",0,"走水",M277,"取消",M277,"半赢",M277*(1+(N277-1)/2),"半输",M277*0.5,""))</x:f>
      </x:c>
      <x:c r="S277" s="17" t="str">
        <x:f>IF(R277="","",R277-M277)</x:f>
      </x:c>
      <x:c r="T277" s="19" t="str">
        <x:f>IF(OR(M277="",S277=""),"",S277/M277)</x:f>
      </x:c>
      <x:c r="U277" s="17" t="str">
        <x:f>IF(S277="","",'参数'!$B$3+SUM($S$3:S277))</x:f>
      </x:c>
      <x:c r="V277" s="15"/>
      <x:c r="W277" s="15"/>
      <x:c r="X277" s="15"/>
    </x:row>
    <x:row r="278" ht="25.5" customHeight="1">
      <x:c r="A278" s="15" t="str">
        <x:f>IF(D278="","",ROW()-2)</x:f>
      </x:c>
      <x:c r="B278" s="16"/>
      <x:c r="C278" s="15"/>
      <x:c r="D278" s="15"/>
      <x:c r="E278" s="16"/>
      <x:c r="F278" s="15"/>
      <x:c r="G278" s="15"/>
      <x:c r="H278" s="15"/>
      <x:c r="I278" s="15"/>
      <x:c r="J278" s="15"/>
      <x:c r="K278" s="15"/>
      <x:c r="L278" s="17" t="str">
        <x:f>IF(M278="","",'参数'!$B$3+IF(ROW()=3,0,SUM($S$3:INDEX($S:$S,ROW()-1))))</x:f>
      </x:c>
      <x:c r="M278" s="17"/>
      <x:c r="N278" s="18"/>
      <x:c r="O278" s="19" t="str">
        <x:f>IF(OR(M278="",L278=""),"",M278/L278)</x:f>
      </x:c>
      <x:c r="P278" s="17" t="str">
        <x:f>IF(OR(M278="",N278=""),"",M278*N278)</x:f>
      </x:c>
      <x:c r="Q278" s="17"/>
      <x:c r="R278" s="17" t="str">
        <x:f>IF(OR(M278="",Q278="",Q278="未结算"),"",SWITCH(Q278,"赢",M278*N278,"输",0,"走水",M278,"取消",M278,"半赢",M278*(1+(N278-1)/2),"半输",M278*0.5,""))</x:f>
      </x:c>
      <x:c r="S278" s="17" t="str">
        <x:f>IF(R278="","",R278-M278)</x:f>
      </x:c>
      <x:c r="T278" s="19" t="str">
        <x:f>IF(OR(M278="",S278=""),"",S278/M278)</x:f>
      </x:c>
      <x:c r="U278" s="17" t="str">
        <x:f>IF(S278="","",'参数'!$B$3+SUM($S$3:S278))</x:f>
      </x:c>
      <x:c r="V278" s="15"/>
      <x:c r="W278" s="15"/>
      <x:c r="X278" s="15"/>
    </x:row>
    <x:row r="279" ht="25.5" customHeight="1">
      <x:c r="A279" s="15" t="str">
        <x:f>IF(D279="","",ROW()-2)</x:f>
      </x:c>
      <x:c r="B279" s="16"/>
      <x:c r="C279" s="15"/>
      <x:c r="D279" s="15"/>
      <x:c r="E279" s="16"/>
      <x:c r="F279" s="15"/>
      <x:c r="G279" s="15"/>
      <x:c r="H279" s="15"/>
      <x:c r="I279" s="15"/>
      <x:c r="J279" s="15"/>
      <x:c r="K279" s="15"/>
      <x:c r="L279" s="17" t="str">
        <x:f>IF(M279="","",'参数'!$B$3+IF(ROW()=3,0,SUM($S$3:INDEX($S:$S,ROW()-1))))</x:f>
      </x:c>
      <x:c r="M279" s="17"/>
      <x:c r="N279" s="18"/>
      <x:c r="O279" s="19" t="str">
        <x:f>IF(OR(M279="",L279=""),"",M279/L279)</x:f>
      </x:c>
      <x:c r="P279" s="17" t="str">
        <x:f>IF(OR(M279="",N279=""),"",M279*N279)</x:f>
      </x:c>
      <x:c r="Q279" s="17"/>
      <x:c r="R279" s="17" t="str">
        <x:f>IF(OR(M279="",Q279="",Q279="未结算"),"",SWITCH(Q279,"赢",M279*N279,"输",0,"走水",M279,"取消",M279,"半赢",M279*(1+(N279-1)/2),"半输",M279*0.5,""))</x:f>
      </x:c>
      <x:c r="S279" s="17" t="str">
        <x:f>IF(R279="","",R279-M279)</x:f>
      </x:c>
      <x:c r="T279" s="19" t="str">
        <x:f>IF(OR(M279="",S279=""),"",S279/M279)</x:f>
      </x:c>
      <x:c r="U279" s="17" t="str">
        <x:f>IF(S279="","",'参数'!$B$3+SUM($S$3:S279))</x:f>
      </x:c>
      <x:c r="V279" s="15"/>
      <x:c r="W279" s="15"/>
      <x:c r="X279" s="15"/>
    </x:row>
    <x:row r="280" ht="25.5" customHeight="1">
      <x:c r="A280" s="15" t="str">
        <x:f>IF(D280="","",ROW()-2)</x:f>
      </x:c>
      <x:c r="B280" s="16"/>
      <x:c r="C280" s="15"/>
      <x:c r="D280" s="15"/>
      <x:c r="E280" s="16"/>
      <x:c r="F280" s="15"/>
      <x:c r="G280" s="15"/>
      <x:c r="H280" s="15"/>
      <x:c r="I280" s="15"/>
      <x:c r="J280" s="15"/>
      <x:c r="K280" s="15"/>
      <x:c r="L280" s="17" t="str">
        <x:f>IF(M280="","",'参数'!$B$3+IF(ROW()=3,0,SUM($S$3:INDEX($S:$S,ROW()-1))))</x:f>
      </x:c>
      <x:c r="M280" s="17"/>
      <x:c r="N280" s="18"/>
      <x:c r="O280" s="19" t="str">
        <x:f>IF(OR(M280="",L280=""),"",M280/L280)</x:f>
      </x:c>
      <x:c r="P280" s="17" t="str">
        <x:f>IF(OR(M280="",N280=""),"",M280*N280)</x:f>
      </x:c>
      <x:c r="Q280" s="17"/>
      <x:c r="R280" s="17" t="str">
        <x:f>IF(OR(M280="",Q280="",Q280="未结算"),"",SWITCH(Q280,"赢",M280*N280,"输",0,"走水",M280,"取消",M280,"半赢",M280*(1+(N280-1)/2),"半输",M280*0.5,""))</x:f>
      </x:c>
      <x:c r="S280" s="17" t="str">
        <x:f>IF(R280="","",R280-M280)</x:f>
      </x:c>
      <x:c r="T280" s="19" t="str">
        <x:f>IF(OR(M280="",S280=""),"",S280/M280)</x:f>
      </x:c>
      <x:c r="U280" s="17" t="str">
        <x:f>IF(S280="","",'参数'!$B$3+SUM($S$3:S280))</x:f>
      </x:c>
      <x:c r="V280" s="15"/>
      <x:c r="W280" s="15"/>
      <x:c r="X280" s="15"/>
    </x:row>
    <x:row r="281" ht="25.5" customHeight="1">
      <x:c r="A281" s="15" t="str">
        <x:f>IF(D281="","",ROW()-2)</x:f>
      </x:c>
      <x:c r="B281" s="16"/>
      <x:c r="C281" s="15"/>
      <x:c r="D281" s="15"/>
      <x:c r="E281" s="16"/>
      <x:c r="F281" s="15"/>
      <x:c r="G281" s="15"/>
      <x:c r="H281" s="15"/>
      <x:c r="I281" s="15"/>
      <x:c r="J281" s="15"/>
      <x:c r="K281" s="15"/>
      <x:c r="L281" s="17" t="str">
        <x:f>IF(M281="","",'参数'!$B$3+IF(ROW()=3,0,SUM($S$3:INDEX($S:$S,ROW()-1))))</x:f>
      </x:c>
      <x:c r="M281" s="17"/>
      <x:c r="N281" s="18"/>
      <x:c r="O281" s="19" t="str">
        <x:f>IF(OR(M281="",L281=""),"",M281/L281)</x:f>
      </x:c>
      <x:c r="P281" s="17" t="str">
        <x:f>IF(OR(M281="",N281=""),"",M281*N281)</x:f>
      </x:c>
      <x:c r="Q281" s="17"/>
      <x:c r="R281" s="17" t="str">
        <x:f>IF(OR(M281="",Q281="",Q281="未结算"),"",SWITCH(Q281,"赢",M281*N281,"输",0,"走水",M281,"取消",M281,"半赢",M281*(1+(N281-1)/2),"半输",M281*0.5,""))</x:f>
      </x:c>
      <x:c r="S281" s="17" t="str">
        <x:f>IF(R281="","",R281-M281)</x:f>
      </x:c>
      <x:c r="T281" s="19" t="str">
        <x:f>IF(OR(M281="",S281=""),"",S281/M281)</x:f>
      </x:c>
      <x:c r="U281" s="17" t="str">
        <x:f>IF(S281="","",'参数'!$B$3+SUM($S$3:S281))</x:f>
      </x:c>
      <x:c r="V281" s="15"/>
      <x:c r="W281" s="15"/>
      <x:c r="X281" s="15"/>
    </x:row>
    <x:row r="282" ht="25.5" customHeight="1">
      <x:c r="A282" s="15" t="str">
        <x:f>IF(D282="","",ROW()-2)</x:f>
      </x:c>
      <x:c r="B282" s="16"/>
      <x:c r="C282" s="15"/>
      <x:c r="D282" s="15"/>
      <x:c r="E282" s="16"/>
      <x:c r="F282" s="15"/>
      <x:c r="G282" s="15"/>
      <x:c r="H282" s="15"/>
      <x:c r="I282" s="15"/>
      <x:c r="J282" s="15"/>
      <x:c r="K282" s="15"/>
      <x:c r="L282" s="17" t="str">
        <x:f>IF(M282="","",'参数'!$B$3+IF(ROW()=3,0,SUM($S$3:INDEX($S:$S,ROW()-1))))</x:f>
      </x:c>
      <x:c r="M282" s="17"/>
      <x:c r="N282" s="18"/>
      <x:c r="O282" s="19" t="str">
        <x:f>IF(OR(M282="",L282=""),"",M282/L282)</x:f>
      </x:c>
      <x:c r="P282" s="17" t="str">
        <x:f>IF(OR(M282="",N282=""),"",M282*N282)</x:f>
      </x:c>
      <x:c r="Q282" s="17"/>
      <x:c r="R282" s="17" t="str">
        <x:f>IF(OR(M282="",Q282="",Q282="未结算"),"",SWITCH(Q282,"赢",M282*N282,"输",0,"走水",M282,"取消",M282,"半赢",M282*(1+(N282-1)/2),"半输",M282*0.5,""))</x:f>
      </x:c>
      <x:c r="S282" s="17" t="str">
        <x:f>IF(R282="","",R282-M282)</x:f>
      </x:c>
      <x:c r="T282" s="19" t="str">
        <x:f>IF(OR(M282="",S282=""),"",S282/M282)</x:f>
      </x:c>
      <x:c r="U282" s="17" t="str">
        <x:f>IF(S282="","",'参数'!$B$3+SUM($S$3:S282))</x:f>
      </x:c>
      <x:c r="V282" s="15"/>
      <x:c r="W282" s="15"/>
      <x:c r="X282" s="15"/>
    </x:row>
    <x:row r="283" ht="25.5" customHeight="1">
      <x:c r="A283" s="15" t="str">
        <x:f>IF(D283="","",ROW()-2)</x:f>
      </x:c>
      <x:c r="B283" s="16"/>
      <x:c r="C283" s="15"/>
      <x:c r="D283" s="15"/>
      <x:c r="E283" s="16"/>
      <x:c r="F283" s="15"/>
      <x:c r="G283" s="15"/>
      <x:c r="H283" s="15"/>
      <x:c r="I283" s="15"/>
      <x:c r="J283" s="15"/>
      <x:c r="K283" s="15"/>
      <x:c r="L283" s="17" t="str">
        <x:f>IF(M283="","",'参数'!$B$3+IF(ROW()=3,0,SUM($S$3:INDEX($S:$S,ROW()-1))))</x:f>
      </x:c>
      <x:c r="M283" s="17"/>
      <x:c r="N283" s="18"/>
      <x:c r="O283" s="19" t="str">
        <x:f>IF(OR(M283="",L283=""),"",M283/L283)</x:f>
      </x:c>
      <x:c r="P283" s="17" t="str">
        <x:f>IF(OR(M283="",N283=""),"",M283*N283)</x:f>
      </x:c>
      <x:c r="Q283" s="17"/>
      <x:c r="R283" s="17" t="str">
        <x:f>IF(OR(M283="",Q283="",Q283="未结算"),"",SWITCH(Q283,"赢",M283*N283,"输",0,"走水",M283,"取消",M283,"半赢",M283*(1+(N283-1)/2),"半输",M283*0.5,""))</x:f>
      </x:c>
      <x:c r="S283" s="17" t="str">
        <x:f>IF(R283="","",R283-M283)</x:f>
      </x:c>
      <x:c r="T283" s="19" t="str">
        <x:f>IF(OR(M283="",S283=""),"",S283/M283)</x:f>
      </x:c>
      <x:c r="U283" s="17" t="str">
        <x:f>IF(S283="","",'参数'!$B$3+SUM($S$3:S283))</x:f>
      </x:c>
      <x:c r="V283" s="15"/>
      <x:c r="W283" s="15"/>
      <x:c r="X283" s="15"/>
    </x:row>
    <x:row r="284" ht="25.5" customHeight="1">
      <x:c r="A284" s="15" t="str">
        <x:f>IF(D284="","",ROW()-2)</x:f>
      </x:c>
      <x:c r="B284" s="16"/>
      <x:c r="C284" s="15"/>
      <x:c r="D284" s="15"/>
      <x:c r="E284" s="16"/>
      <x:c r="F284" s="15"/>
      <x:c r="G284" s="15"/>
      <x:c r="H284" s="15"/>
      <x:c r="I284" s="15"/>
      <x:c r="J284" s="15"/>
      <x:c r="K284" s="15"/>
      <x:c r="L284" s="17" t="str">
        <x:f>IF(M284="","",'参数'!$B$3+IF(ROW()=3,0,SUM($S$3:INDEX($S:$S,ROW()-1))))</x:f>
      </x:c>
      <x:c r="M284" s="17"/>
      <x:c r="N284" s="18"/>
      <x:c r="O284" s="19" t="str">
        <x:f>IF(OR(M284="",L284=""),"",M284/L284)</x:f>
      </x:c>
      <x:c r="P284" s="17" t="str">
        <x:f>IF(OR(M284="",N284=""),"",M284*N284)</x:f>
      </x:c>
      <x:c r="Q284" s="17"/>
      <x:c r="R284" s="17" t="str">
        <x:f>IF(OR(M284="",Q284="",Q284="未结算"),"",SWITCH(Q284,"赢",M284*N284,"输",0,"走水",M284,"取消",M284,"半赢",M284*(1+(N284-1)/2),"半输",M284*0.5,""))</x:f>
      </x:c>
      <x:c r="S284" s="17" t="str">
        <x:f>IF(R284="","",R284-M284)</x:f>
      </x:c>
      <x:c r="T284" s="19" t="str">
        <x:f>IF(OR(M284="",S284=""),"",S284/M284)</x:f>
      </x:c>
      <x:c r="U284" s="17" t="str">
        <x:f>IF(S284="","",'参数'!$B$3+SUM($S$3:S284))</x:f>
      </x:c>
      <x:c r="V284" s="15"/>
      <x:c r="W284" s="15"/>
      <x:c r="X284" s="15"/>
    </x:row>
    <x:row r="285" ht="25.5" customHeight="1">
      <x:c r="A285" s="15" t="str">
        <x:f>IF(D285="","",ROW()-2)</x:f>
      </x:c>
      <x:c r="B285" s="16"/>
      <x:c r="C285" s="15"/>
      <x:c r="D285" s="15"/>
      <x:c r="E285" s="16"/>
      <x:c r="F285" s="15"/>
      <x:c r="G285" s="15"/>
      <x:c r="H285" s="15"/>
      <x:c r="I285" s="15"/>
      <x:c r="J285" s="15"/>
      <x:c r="K285" s="15"/>
      <x:c r="L285" s="17" t="str">
        <x:f>IF(M285="","",'参数'!$B$3+IF(ROW()=3,0,SUM($S$3:INDEX($S:$S,ROW()-1))))</x:f>
      </x:c>
      <x:c r="M285" s="17"/>
      <x:c r="N285" s="18"/>
      <x:c r="O285" s="19" t="str">
        <x:f>IF(OR(M285="",L285=""),"",M285/L285)</x:f>
      </x:c>
      <x:c r="P285" s="17" t="str">
        <x:f>IF(OR(M285="",N285=""),"",M285*N285)</x:f>
      </x:c>
      <x:c r="Q285" s="17"/>
      <x:c r="R285" s="17" t="str">
        <x:f>IF(OR(M285="",Q285="",Q285="未结算"),"",SWITCH(Q285,"赢",M285*N285,"输",0,"走水",M285,"取消",M285,"半赢",M285*(1+(N285-1)/2),"半输",M285*0.5,""))</x:f>
      </x:c>
      <x:c r="S285" s="17" t="str">
        <x:f>IF(R285="","",R285-M285)</x:f>
      </x:c>
      <x:c r="T285" s="19" t="str">
        <x:f>IF(OR(M285="",S285=""),"",S285/M285)</x:f>
      </x:c>
      <x:c r="U285" s="17" t="str">
        <x:f>IF(S285="","",'参数'!$B$3+SUM($S$3:S285))</x:f>
      </x:c>
      <x:c r="V285" s="15"/>
      <x:c r="W285" s="15"/>
      <x:c r="X285" s="15"/>
    </x:row>
    <x:row r="286" ht="25.5" customHeight="1">
      <x:c r="A286" s="15" t="str">
        <x:f>IF(D286="","",ROW()-2)</x:f>
      </x:c>
      <x:c r="B286" s="16"/>
      <x:c r="C286" s="15"/>
      <x:c r="D286" s="15"/>
      <x:c r="E286" s="16"/>
      <x:c r="F286" s="15"/>
      <x:c r="G286" s="15"/>
      <x:c r="H286" s="15"/>
      <x:c r="I286" s="15"/>
      <x:c r="J286" s="15"/>
      <x:c r="K286" s="15"/>
      <x:c r="L286" s="17" t="str">
        <x:f>IF(M286="","",'参数'!$B$3+IF(ROW()=3,0,SUM($S$3:INDEX($S:$S,ROW()-1))))</x:f>
      </x:c>
      <x:c r="M286" s="17"/>
      <x:c r="N286" s="18"/>
      <x:c r="O286" s="19" t="str">
        <x:f>IF(OR(M286="",L286=""),"",M286/L286)</x:f>
      </x:c>
      <x:c r="P286" s="17" t="str">
        <x:f>IF(OR(M286="",N286=""),"",M286*N286)</x:f>
      </x:c>
      <x:c r="Q286" s="17"/>
      <x:c r="R286" s="17" t="str">
        <x:f>IF(OR(M286="",Q286="",Q286="未结算"),"",SWITCH(Q286,"赢",M286*N286,"输",0,"走水",M286,"取消",M286,"半赢",M286*(1+(N286-1)/2),"半输",M286*0.5,""))</x:f>
      </x:c>
      <x:c r="S286" s="17" t="str">
        <x:f>IF(R286="","",R286-M286)</x:f>
      </x:c>
      <x:c r="T286" s="19" t="str">
        <x:f>IF(OR(M286="",S286=""),"",S286/M286)</x:f>
      </x:c>
      <x:c r="U286" s="17" t="str">
        <x:f>IF(S286="","",'参数'!$B$3+SUM($S$3:S286))</x:f>
      </x:c>
      <x:c r="V286" s="15"/>
      <x:c r="W286" s="15"/>
      <x:c r="X286" s="15"/>
    </x:row>
    <x:row r="287" ht="25.5" customHeight="1">
      <x:c r="A287" s="15" t="str">
        <x:f>IF(D287="","",ROW()-2)</x:f>
      </x:c>
      <x:c r="B287" s="16"/>
      <x:c r="C287" s="15"/>
      <x:c r="D287" s="15"/>
      <x:c r="E287" s="16"/>
      <x:c r="F287" s="15"/>
      <x:c r="G287" s="15"/>
      <x:c r="H287" s="15"/>
      <x:c r="I287" s="15"/>
      <x:c r="J287" s="15"/>
      <x:c r="K287" s="15"/>
      <x:c r="L287" s="17" t="str">
        <x:f>IF(M287="","",'参数'!$B$3+IF(ROW()=3,0,SUM($S$3:INDEX($S:$S,ROW()-1))))</x:f>
      </x:c>
      <x:c r="M287" s="17"/>
      <x:c r="N287" s="18"/>
      <x:c r="O287" s="19" t="str">
        <x:f>IF(OR(M287="",L287=""),"",M287/L287)</x:f>
      </x:c>
      <x:c r="P287" s="17" t="str">
        <x:f>IF(OR(M287="",N287=""),"",M287*N287)</x:f>
      </x:c>
      <x:c r="Q287" s="17"/>
      <x:c r="R287" s="17" t="str">
        <x:f>IF(OR(M287="",Q287="",Q287="未结算"),"",SWITCH(Q287,"赢",M287*N287,"输",0,"走水",M287,"取消",M287,"半赢",M287*(1+(N287-1)/2),"半输",M287*0.5,""))</x:f>
      </x:c>
      <x:c r="S287" s="17" t="str">
        <x:f>IF(R287="","",R287-M287)</x:f>
      </x:c>
      <x:c r="T287" s="19" t="str">
        <x:f>IF(OR(M287="",S287=""),"",S287/M287)</x:f>
      </x:c>
      <x:c r="U287" s="17" t="str">
        <x:f>IF(S287="","",'参数'!$B$3+SUM($S$3:S287))</x:f>
      </x:c>
      <x:c r="V287" s="15"/>
      <x:c r="W287" s="15"/>
      <x:c r="X287" s="15"/>
    </x:row>
    <x:row r="288" ht="25.5" customHeight="1">
      <x:c r="A288" s="15" t="str">
        <x:f>IF(D288="","",ROW()-2)</x:f>
      </x:c>
      <x:c r="B288" s="16"/>
      <x:c r="C288" s="15"/>
      <x:c r="D288" s="15"/>
      <x:c r="E288" s="16"/>
      <x:c r="F288" s="15"/>
      <x:c r="G288" s="15"/>
      <x:c r="H288" s="15"/>
      <x:c r="I288" s="15"/>
      <x:c r="J288" s="15"/>
      <x:c r="K288" s="15"/>
      <x:c r="L288" s="17" t="str">
        <x:f>IF(M288="","",'参数'!$B$3+IF(ROW()=3,0,SUM($S$3:INDEX($S:$S,ROW()-1))))</x:f>
      </x:c>
      <x:c r="M288" s="17"/>
      <x:c r="N288" s="18"/>
      <x:c r="O288" s="19" t="str">
        <x:f>IF(OR(M288="",L288=""),"",M288/L288)</x:f>
      </x:c>
      <x:c r="P288" s="17" t="str">
        <x:f>IF(OR(M288="",N288=""),"",M288*N288)</x:f>
      </x:c>
      <x:c r="Q288" s="17"/>
      <x:c r="R288" s="17" t="str">
        <x:f>IF(OR(M288="",Q288="",Q288="未结算"),"",SWITCH(Q288,"赢",M288*N288,"输",0,"走水",M288,"取消",M288,"半赢",M288*(1+(N288-1)/2),"半输",M288*0.5,""))</x:f>
      </x:c>
      <x:c r="S288" s="17" t="str">
        <x:f>IF(R288="","",R288-M288)</x:f>
      </x:c>
      <x:c r="T288" s="19" t="str">
        <x:f>IF(OR(M288="",S288=""),"",S288/M288)</x:f>
      </x:c>
      <x:c r="U288" s="17" t="str">
        <x:f>IF(S288="","",'参数'!$B$3+SUM($S$3:S288))</x:f>
      </x:c>
      <x:c r="V288" s="15"/>
      <x:c r="W288" s="15"/>
      <x:c r="X288" s="15"/>
    </x:row>
    <x:row r="289" ht="25.5" customHeight="1">
      <x:c r="A289" s="15" t="str">
        <x:f>IF(D289="","",ROW()-2)</x:f>
      </x:c>
      <x:c r="B289" s="16"/>
      <x:c r="C289" s="15"/>
      <x:c r="D289" s="15"/>
      <x:c r="E289" s="16"/>
      <x:c r="F289" s="15"/>
      <x:c r="G289" s="15"/>
      <x:c r="H289" s="15"/>
      <x:c r="I289" s="15"/>
      <x:c r="J289" s="15"/>
      <x:c r="K289" s="15"/>
      <x:c r="L289" s="17" t="str">
        <x:f>IF(M289="","",'参数'!$B$3+IF(ROW()=3,0,SUM($S$3:INDEX($S:$S,ROW()-1))))</x:f>
      </x:c>
      <x:c r="M289" s="17"/>
      <x:c r="N289" s="18"/>
      <x:c r="O289" s="19" t="str">
        <x:f>IF(OR(M289="",L289=""),"",M289/L289)</x:f>
      </x:c>
      <x:c r="P289" s="17" t="str">
        <x:f>IF(OR(M289="",N289=""),"",M289*N289)</x:f>
      </x:c>
      <x:c r="Q289" s="17"/>
      <x:c r="R289" s="17" t="str">
        <x:f>IF(OR(M289="",Q289="",Q289="未结算"),"",SWITCH(Q289,"赢",M289*N289,"输",0,"走水",M289,"取消",M289,"半赢",M289*(1+(N289-1)/2),"半输",M289*0.5,""))</x:f>
      </x:c>
      <x:c r="S289" s="17" t="str">
        <x:f>IF(R289="","",R289-M289)</x:f>
      </x:c>
      <x:c r="T289" s="19" t="str">
        <x:f>IF(OR(M289="",S289=""),"",S289/M289)</x:f>
      </x:c>
      <x:c r="U289" s="17" t="str">
        <x:f>IF(S289="","",'参数'!$B$3+SUM($S$3:S289))</x:f>
      </x:c>
      <x:c r="V289" s="15"/>
      <x:c r="W289" s="15"/>
      <x:c r="X289" s="15"/>
    </x:row>
    <x:row r="290" ht="25.5" customHeight="1">
      <x:c r="A290" s="15" t="str">
        <x:f>IF(D290="","",ROW()-2)</x:f>
      </x:c>
      <x:c r="B290" s="16"/>
      <x:c r="C290" s="15"/>
      <x:c r="D290" s="15"/>
      <x:c r="E290" s="16"/>
      <x:c r="F290" s="15"/>
      <x:c r="G290" s="15"/>
      <x:c r="H290" s="15"/>
      <x:c r="I290" s="15"/>
      <x:c r="J290" s="15"/>
      <x:c r="K290" s="15"/>
      <x:c r="L290" s="17" t="str">
        <x:f>IF(M290="","",'参数'!$B$3+IF(ROW()=3,0,SUM($S$3:INDEX($S:$S,ROW()-1))))</x:f>
      </x:c>
      <x:c r="M290" s="17"/>
      <x:c r="N290" s="18"/>
      <x:c r="O290" s="19" t="str">
        <x:f>IF(OR(M290="",L290=""),"",M290/L290)</x:f>
      </x:c>
      <x:c r="P290" s="17" t="str">
        <x:f>IF(OR(M290="",N290=""),"",M290*N290)</x:f>
      </x:c>
      <x:c r="Q290" s="17"/>
      <x:c r="R290" s="17" t="str">
        <x:f>IF(OR(M290="",Q290="",Q290="未结算"),"",SWITCH(Q290,"赢",M290*N290,"输",0,"走水",M290,"取消",M290,"半赢",M290*(1+(N290-1)/2),"半输",M290*0.5,""))</x:f>
      </x:c>
      <x:c r="S290" s="17" t="str">
        <x:f>IF(R290="","",R290-M290)</x:f>
      </x:c>
      <x:c r="T290" s="19" t="str">
        <x:f>IF(OR(M290="",S290=""),"",S290/M290)</x:f>
      </x:c>
      <x:c r="U290" s="17" t="str">
        <x:f>IF(S290="","",'参数'!$B$3+SUM($S$3:S290))</x:f>
      </x:c>
      <x:c r="V290" s="15"/>
      <x:c r="W290" s="15"/>
      <x:c r="X290" s="15"/>
    </x:row>
    <x:row r="291" ht="25.5" customHeight="1">
      <x:c r="A291" s="15" t="str">
        <x:f>IF(D291="","",ROW()-2)</x:f>
      </x:c>
      <x:c r="B291" s="16"/>
      <x:c r="C291" s="15"/>
      <x:c r="D291" s="15"/>
      <x:c r="E291" s="16"/>
      <x:c r="F291" s="15"/>
      <x:c r="G291" s="15"/>
      <x:c r="H291" s="15"/>
      <x:c r="I291" s="15"/>
      <x:c r="J291" s="15"/>
      <x:c r="K291" s="15"/>
      <x:c r="L291" s="17" t="str">
        <x:f>IF(M291="","",'参数'!$B$3+IF(ROW()=3,0,SUM($S$3:INDEX($S:$S,ROW()-1))))</x:f>
      </x:c>
      <x:c r="M291" s="17"/>
      <x:c r="N291" s="18"/>
      <x:c r="O291" s="19" t="str">
        <x:f>IF(OR(M291="",L291=""),"",M291/L291)</x:f>
      </x:c>
      <x:c r="P291" s="17" t="str">
        <x:f>IF(OR(M291="",N291=""),"",M291*N291)</x:f>
      </x:c>
      <x:c r="Q291" s="17"/>
      <x:c r="R291" s="17" t="str">
        <x:f>IF(OR(M291="",Q291="",Q291="未结算"),"",SWITCH(Q291,"赢",M291*N291,"输",0,"走水",M291,"取消",M291,"半赢",M291*(1+(N291-1)/2),"半输",M291*0.5,""))</x:f>
      </x:c>
      <x:c r="S291" s="17" t="str">
        <x:f>IF(R291="","",R291-M291)</x:f>
      </x:c>
      <x:c r="T291" s="19" t="str">
        <x:f>IF(OR(M291="",S291=""),"",S291/M291)</x:f>
      </x:c>
      <x:c r="U291" s="17" t="str">
        <x:f>IF(S291="","",'参数'!$B$3+SUM($S$3:S291))</x:f>
      </x:c>
      <x:c r="V291" s="15"/>
      <x:c r="W291" s="15"/>
      <x:c r="X291" s="15"/>
    </x:row>
    <x:row r="292" ht="25.5" customHeight="1">
      <x:c r="A292" s="15" t="str">
        <x:f>IF(D292="","",ROW()-2)</x:f>
      </x:c>
      <x:c r="B292" s="16"/>
      <x:c r="C292" s="15"/>
      <x:c r="D292" s="15"/>
      <x:c r="E292" s="16"/>
      <x:c r="F292" s="15"/>
      <x:c r="G292" s="15"/>
      <x:c r="H292" s="15"/>
      <x:c r="I292" s="15"/>
      <x:c r="J292" s="15"/>
      <x:c r="K292" s="15"/>
      <x:c r="L292" s="17" t="str">
        <x:f>IF(M292="","",'参数'!$B$3+IF(ROW()=3,0,SUM($S$3:INDEX($S:$S,ROW()-1))))</x:f>
      </x:c>
      <x:c r="M292" s="17"/>
      <x:c r="N292" s="18"/>
      <x:c r="O292" s="19" t="str">
        <x:f>IF(OR(M292="",L292=""),"",M292/L292)</x:f>
      </x:c>
      <x:c r="P292" s="17" t="str">
        <x:f>IF(OR(M292="",N292=""),"",M292*N292)</x:f>
      </x:c>
      <x:c r="Q292" s="17"/>
      <x:c r="R292" s="17" t="str">
        <x:f>IF(OR(M292="",Q292="",Q292="未结算"),"",SWITCH(Q292,"赢",M292*N292,"输",0,"走水",M292,"取消",M292,"半赢",M292*(1+(N292-1)/2),"半输",M292*0.5,""))</x:f>
      </x:c>
      <x:c r="S292" s="17" t="str">
        <x:f>IF(R292="","",R292-M292)</x:f>
      </x:c>
      <x:c r="T292" s="19" t="str">
        <x:f>IF(OR(M292="",S292=""),"",S292/M292)</x:f>
      </x:c>
      <x:c r="U292" s="17" t="str">
        <x:f>IF(S292="","",'参数'!$B$3+SUM($S$3:S292))</x:f>
      </x:c>
      <x:c r="V292" s="15"/>
      <x:c r="W292" s="15"/>
      <x:c r="X292" s="15"/>
    </x:row>
    <x:row r="293" ht="25.5" customHeight="1">
      <x:c r="A293" s="15" t="str">
        <x:f>IF(D293="","",ROW()-2)</x:f>
      </x:c>
      <x:c r="B293" s="16"/>
      <x:c r="C293" s="15"/>
      <x:c r="D293" s="15"/>
      <x:c r="E293" s="16"/>
      <x:c r="F293" s="15"/>
      <x:c r="G293" s="15"/>
      <x:c r="H293" s="15"/>
      <x:c r="I293" s="15"/>
      <x:c r="J293" s="15"/>
      <x:c r="K293" s="15"/>
      <x:c r="L293" s="17" t="str">
        <x:f>IF(M293="","",'参数'!$B$3+IF(ROW()=3,0,SUM($S$3:INDEX($S:$S,ROW()-1))))</x:f>
      </x:c>
      <x:c r="M293" s="17"/>
      <x:c r="N293" s="18"/>
      <x:c r="O293" s="19" t="str">
        <x:f>IF(OR(M293="",L293=""),"",M293/L293)</x:f>
      </x:c>
      <x:c r="P293" s="17" t="str">
        <x:f>IF(OR(M293="",N293=""),"",M293*N293)</x:f>
      </x:c>
      <x:c r="Q293" s="17"/>
      <x:c r="R293" s="17" t="str">
        <x:f>IF(OR(M293="",Q293="",Q293="未结算"),"",SWITCH(Q293,"赢",M293*N293,"输",0,"走水",M293,"取消",M293,"半赢",M293*(1+(N293-1)/2),"半输",M293*0.5,""))</x:f>
      </x:c>
      <x:c r="S293" s="17" t="str">
        <x:f>IF(R293="","",R293-M293)</x:f>
      </x:c>
      <x:c r="T293" s="19" t="str">
        <x:f>IF(OR(M293="",S293=""),"",S293/M293)</x:f>
      </x:c>
      <x:c r="U293" s="17" t="str">
        <x:f>IF(S293="","",'参数'!$B$3+SUM($S$3:S293))</x:f>
      </x:c>
      <x:c r="V293" s="15"/>
      <x:c r="W293" s="15"/>
      <x:c r="X293" s="15"/>
    </x:row>
    <x:row r="294" ht="25.5" customHeight="1">
      <x:c r="A294" s="15" t="str">
        <x:f>IF(D294="","",ROW()-2)</x:f>
      </x:c>
      <x:c r="B294" s="16"/>
      <x:c r="C294" s="15"/>
      <x:c r="D294" s="15"/>
      <x:c r="E294" s="16"/>
      <x:c r="F294" s="15"/>
      <x:c r="G294" s="15"/>
      <x:c r="H294" s="15"/>
      <x:c r="I294" s="15"/>
      <x:c r="J294" s="15"/>
      <x:c r="K294" s="15"/>
      <x:c r="L294" s="17" t="str">
        <x:f>IF(M294="","",'参数'!$B$3+IF(ROW()=3,0,SUM($S$3:INDEX($S:$S,ROW()-1))))</x:f>
      </x:c>
      <x:c r="M294" s="17"/>
      <x:c r="N294" s="18"/>
      <x:c r="O294" s="19" t="str">
        <x:f>IF(OR(M294="",L294=""),"",M294/L294)</x:f>
      </x:c>
      <x:c r="P294" s="17" t="str">
        <x:f>IF(OR(M294="",N294=""),"",M294*N294)</x:f>
      </x:c>
      <x:c r="Q294" s="17"/>
      <x:c r="R294" s="17" t="str">
        <x:f>IF(OR(M294="",Q294="",Q294="未结算"),"",SWITCH(Q294,"赢",M294*N294,"输",0,"走水",M294,"取消",M294,"半赢",M294*(1+(N294-1)/2),"半输",M294*0.5,""))</x:f>
      </x:c>
      <x:c r="S294" s="17" t="str">
        <x:f>IF(R294="","",R294-M294)</x:f>
      </x:c>
      <x:c r="T294" s="19" t="str">
        <x:f>IF(OR(M294="",S294=""),"",S294/M294)</x:f>
      </x:c>
      <x:c r="U294" s="17" t="str">
        <x:f>IF(S294="","",'参数'!$B$3+SUM($S$3:S294))</x:f>
      </x:c>
      <x:c r="V294" s="15"/>
      <x:c r="W294" s="15"/>
      <x:c r="X294" s="15"/>
    </x:row>
    <x:row r="295" ht="25.5" customHeight="1">
      <x:c r="A295" s="15" t="str">
        <x:f>IF(D295="","",ROW()-2)</x:f>
      </x:c>
      <x:c r="B295" s="16"/>
      <x:c r="C295" s="15"/>
      <x:c r="D295" s="15"/>
      <x:c r="E295" s="16"/>
      <x:c r="F295" s="15"/>
      <x:c r="G295" s="15"/>
      <x:c r="H295" s="15"/>
      <x:c r="I295" s="15"/>
      <x:c r="J295" s="15"/>
      <x:c r="K295" s="15"/>
      <x:c r="L295" s="17" t="str">
        <x:f>IF(M295="","",'参数'!$B$3+IF(ROW()=3,0,SUM($S$3:INDEX($S:$S,ROW()-1))))</x:f>
      </x:c>
      <x:c r="M295" s="17"/>
      <x:c r="N295" s="18"/>
      <x:c r="O295" s="19" t="str">
        <x:f>IF(OR(M295="",L295=""),"",M295/L295)</x:f>
      </x:c>
      <x:c r="P295" s="17" t="str">
        <x:f>IF(OR(M295="",N295=""),"",M295*N295)</x:f>
      </x:c>
      <x:c r="Q295" s="17"/>
      <x:c r="R295" s="17" t="str">
        <x:f>IF(OR(M295="",Q295="",Q295="未结算"),"",SWITCH(Q295,"赢",M295*N295,"输",0,"走水",M295,"取消",M295,"半赢",M295*(1+(N295-1)/2),"半输",M295*0.5,""))</x:f>
      </x:c>
      <x:c r="S295" s="17" t="str">
        <x:f>IF(R295="","",R295-M295)</x:f>
      </x:c>
      <x:c r="T295" s="19" t="str">
        <x:f>IF(OR(M295="",S295=""),"",S295/M295)</x:f>
      </x:c>
      <x:c r="U295" s="17" t="str">
        <x:f>IF(S295="","",'参数'!$B$3+SUM($S$3:S295))</x:f>
      </x:c>
      <x:c r="V295" s="15"/>
      <x:c r="W295" s="15"/>
      <x:c r="X295" s="15"/>
    </x:row>
    <x:row r="296" ht="25.5" customHeight="1">
      <x:c r="A296" s="15" t="str">
        <x:f>IF(D296="","",ROW()-2)</x:f>
      </x:c>
      <x:c r="B296" s="16"/>
      <x:c r="C296" s="15"/>
      <x:c r="D296" s="15"/>
      <x:c r="E296" s="16"/>
      <x:c r="F296" s="15"/>
      <x:c r="G296" s="15"/>
      <x:c r="H296" s="15"/>
      <x:c r="I296" s="15"/>
      <x:c r="J296" s="15"/>
      <x:c r="K296" s="15"/>
      <x:c r="L296" s="17" t="str">
        <x:f>IF(M296="","",'参数'!$B$3+IF(ROW()=3,0,SUM($S$3:INDEX($S:$S,ROW()-1))))</x:f>
      </x:c>
      <x:c r="M296" s="17"/>
      <x:c r="N296" s="18"/>
      <x:c r="O296" s="19" t="str">
        <x:f>IF(OR(M296="",L296=""),"",M296/L296)</x:f>
      </x:c>
      <x:c r="P296" s="17" t="str">
        <x:f>IF(OR(M296="",N296=""),"",M296*N296)</x:f>
      </x:c>
      <x:c r="Q296" s="17"/>
      <x:c r="R296" s="17" t="str">
        <x:f>IF(OR(M296="",Q296="",Q296="未结算"),"",SWITCH(Q296,"赢",M296*N296,"输",0,"走水",M296,"取消",M296,"半赢",M296*(1+(N296-1)/2),"半输",M296*0.5,""))</x:f>
      </x:c>
      <x:c r="S296" s="17" t="str">
        <x:f>IF(R296="","",R296-M296)</x:f>
      </x:c>
      <x:c r="T296" s="19" t="str">
        <x:f>IF(OR(M296="",S296=""),"",S296/M296)</x:f>
      </x:c>
      <x:c r="U296" s="17" t="str">
        <x:f>IF(S296="","",'参数'!$B$3+SUM($S$3:S296))</x:f>
      </x:c>
      <x:c r="V296" s="15"/>
      <x:c r="W296" s="15"/>
      <x:c r="X296" s="15"/>
    </x:row>
    <x:row r="297" ht="25.5" customHeight="1">
      <x:c r="A297" s="15" t="str">
        <x:f>IF(D297="","",ROW()-2)</x:f>
      </x:c>
      <x:c r="B297" s="16"/>
      <x:c r="C297" s="15"/>
      <x:c r="D297" s="15"/>
      <x:c r="E297" s="16"/>
      <x:c r="F297" s="15"/>
      <x:c r="G297" s="15"/>
      <x:c r="H297" s="15"/>
      <x:c r="I297" s="15"/>
      <x:c r="J297" s="15"/>
      <x:c r="K297" s="15"/>
      <x:c r="L297" s="17" t="str">
        <x:f>IF(M297="","",'参数'!$B$3+IF(ROW()=3,0,SUM($S$3:INDEX($S:$S,ROW()-1))))</x:f>
      </x:c>
      <x:c r="M297" s="17"/>
      <x:c r="N297" s="18"/>
      <x:c r="O297" s="19" t="str">
        <x:f>IF(OR(M297="",L297=""),"",M297/L297)</x:f>
      </x:c>
      <x:c r="P297" s="17" t="str">
        <x:f>IF(OR(M297="",N297=""),"",M297*N297)</x:f>
      </x:c>
      <x:c r="Q297" s="17"/>
      <x:c r="R297" s="17" t="str">
        <x:f>IF(OR(M297="",Q297="",Q297="未结算"),"",SWITCH(Q297,"赢",M297*N297,"输",0,"走水",M297,"取消",M297,"半赢",M297*(1+(N297-1)/2),"半输",M297*0.5,""))</x:f>
      </x:c>
      <x:c r="S297" s="17" t="str">
        <x:f>IF(R297="","",R297-M297)</x:f>
      </x:c>
      <x:c r="T297" s="19" t="str">
        <x:f>IF(OR(M297="",S297=""),"",S297/M297)</x:f>
      </x:c>
      <x:c r="U297" s="17" t="str">
        <x:f>IF(S297="","",'参数'!$B$3+SUM($S$3:S297))</x:f>
      </x:c>
      <x:c r="V297" s="15"/>
      <x:c r="W297" s="15"/>
      <x:c r="X297" s="15"/>
    </x:row>
    <x:row r="298" ht="25.5" customHeight="1">
      <x:c r="A298" s="15" t="str">
        <x:f>IF(D298="","",ROW()-2)</x:f>
      </x:c>
      <x:c r="B298" s="16"/>
      <x:c r="C298" s="15"/>
      <x:c r="D298" s="15"/>
      <x:c r="E298" s="16"/>
      <x:c r="F298" s="15"/>
      <x:c r="G298" s="15"/>
      <x:c r="H298" s="15"/>
      <x:c r="I298" s="15"/>
      <x:c r="J298" s="15"/>
      <x:c r="K298" s="15"/>
      <x:c r="L298" s="17" t="str">
        <x:f>IF(M298="","",'参数'!$B$3+IF(ROW()=3,0,SUM($S$3:INDEX($S:$S,ROW()-1))))</x:f>
      </x:c>
      <x:c r="M298" s="17"/>
      <x:c r="N298" s="18"/>
      <x:c r="O298" s="19" t="str">
        <x:f>IF(OR(M298="",L298=""),"",M298/L298)</x:f>
      </x:c>
      <x:c r="P298" s="17" t="str">
        <x:f>IF(OR(M298="",N298=""),"",M298*N298)</x:f>
      </x:c>
      <x:c r="Q298" s="17"/>
      <x:c r="R298" s="17" t="str">
        <x:f>IF(OR(M298="",Q298="",Q298="未结算"),"",SWITCH(Q298,"赢",M298*N298,"输",0,"走水",M298,"取消",M298,"半赢",M298*(1+(N298-1)/2),"半输",M298*0.5,""))</x:f>
      </x:c>
      <x:c r="S298" s="17" t="str">
        <x:f>IF(R298="","",R298-M298)</x:f>
      </x:c>
      <x:c r="T298" s="19" t="str">
        <x:f>IF(OR(M298="",S298=""),"",S298/M298)</x:f>
      </x:c>
      <x:c r="U298" s="17" t="str">
        <x:f>IF(S298="","",'参数'!$B$3+SUM($S$3:S298))</x:f>
      </x:c>
      <x:c r="V298" s="15"/>
      <x:c r="W298" s="15"/>
      <x:c r="X298" s="15"/>
    </x:row>
    <x:row r="299" ht="25.5" customHeight="1">
      <x:c r="A299" s="15" t="str">
        <x:f>IF(D299="","",ROW()-2)</x:f>
      </x:c>
      <x:c r="B299" s="16"/>
      <x:c r="C299" s="15"/>
      <x:c r="D299" s="15"/>
      <x:c r="E299" s="16"/>
      <x:c r="F299" s="15"/>
      <x:c r="G299" s="15"/>
      <x:c r="H299" s="15"/>
      <x:c r="I299" s="15"/>
      <x:c r="J299" s="15"/>
      <x:c r="K299" s="15"/>
      <x:c r="L299" s="17" t="str">
        <x:f>IF(M299="","",'参数'!$B$3+IF(ROW()=3,0,SUM($S$3:INDEX($S:$S,ROW()-1))))</x:f>
      </x:c>
      <x:c r="M299" s="17"/>
      <x:c r="N299" s="18"/>
      <x:c r="O299" s="19" t="str">
        <x:f>IF(OR(M299="",L299=""),"",M299/L299)</x:f>
      </x:c>
      <x:c r="P299" s="17" t="str">
        <x:f>IF(OR(M299="",N299=""),"",M299*N299)</x:f>
      </x:c>
      <x:c r="Q299" s="17"/>
      <x:c r="R299" s="17" t="str">
        <x:f>IF(OR(M299="",Q299="",Q299="未结算"),"",SWITCH(Q299,"赢",M299*N299,"输",0,"走水",M299,"取消",M299,"半赢",M299*(1+(N299-1)/2),"半输",M299*0.5,""))</x:f>
      </x:c>
      <x:c r="S299" s="17" t="str">
        <x:f>IF(R299="","",R299-M299)</x:f>
      </x:c>
      <x:c r="T299" s="19" t="str">
        <x:f>IF(OR(M299="",S299=""),"",S299/M299)</x:f>
      </x:c>
      <x:c r="U299" s="17" t="str">
        <x:f>IF(S299="","",'参数'!$B$3+SUM($S$3:S299))</x:f>
      </x:c>
      <x:c r="V299" s="15"/>
      <x:c r="W299" s="15"/>
      <x:c r="X299" s="15"/>
    </x:row>
    <x:row r="300" ht="25.5" customHeight="1">
      <x:c r="A300" s="15" t="str">
        <x:f>IF(D300="","",ROW()-2)</x:f>
      </x:c>
      <x:c r="B300" s="16"/>
      <x:c r="C300" s="15"/>
      <x:c r="D300" s="15"/>
      <x:c r="E300" s="16"/>
      <x:c r="F300" s="15"/>
      <x:c r="G300" s="15"/>
      <x:c r="H300" s="15"/>
      <x:c r="I300" s="15"/>
      <x:c r="J300" s="15"/>
      <x:c r="K300" s="15"/>
      <x:c r="L300" s="17" t="str">
        <x:f>IF(M300="","",'参数'!$B$3+IF(ROW()=3,0,SUM($S$3:INDEX($S:$S,ROW()-1))))</x:f>
      </x:c>
      <x:c r="M300" s="17"/>
      <x:c r="N300" s="18"/>
      <x:c r="O300" s="19" t="str">
        <x:f>IF(OR(M300="",L300=""),"",M300/L300)</x:f>
      </x:c>
      <x:c r="P300" s="17" t="str">
        <x:f>IF(OR(M300="",N300=""),"",M300*N300)</x:f>
      </x:c>
      <x:c r="Q300" s="17"/>
      <x:c r="R300" s="17" t="str">
        <x:f>IF(OR(M300="",Q300="",Q300="未结算"),"",SWITCH(Q300,"赢",M300*N300,"输",0,"走水",M300,"取消",M300,"半赢",M300*(1+(N300-1)/2),"半输",M300*0.5,""))</x:f>
      </x:c>
      <x:c r="S300" s="17" t="str">
        <x:f>IF(R300="","",R300-M300)</x:f>
      </x:c>
      <x:c r="T300" s="19" t="str">
        <x:f>IF(OR(M300="",S300=""),"",S300/M300)</x:f>
      </x:c>
      <x:c r="U300" s="17" t="str">
        <x:f>IF(S300="","",'参数'!$B$3+SUM($S$3:S300))</x:f>
      </x:c>
      <x:c r="V300" s="15"/>
      <x:c r="W300" s="15"/>
      <x:c r="X300" s="15"/>
    </x:row>
    <x:row r="301" ht="25.5" customHeight="1">
      <x:c r="A301" s="15" t="str">
        <x:f>IF(D301="","",ROW()-2)</x:f>
      </x:c>
      <x:c r="B301" s="16"/>
      <x:c r="C301" s="15"/>
      <x:c r="D301" s="15"/>
      <x:c r="E301" s="16"/>
      <x:c r="F301" s="15"/>
      <x:c r="G301" s="15"/>
      <x:c r="H301" s="15"/>
      <x:c r="I301" s="15"/>
      <x:c r="J301" s="15"/>
      <x:c r="K301" s="15"/>
      <x:c r="L301" s="17" t="str">
        <x:f>IF(M301="","",'参数'!$B$3+IF(ROW()=3,0,SUM($S$3:INDEX($S:$S,ROW()-1))))</x:f>
      </x:c>
      <x:c r="M301" s="17"/>
      <x:c r="N301" s="18"/>
      <x:c r="O301" s="19" t="str">
        <x:f>IF(OR(M301="",L301=""),"",M301/L301)</x:f>
      </x:c>
      <x:c r="P301" s="17" t="str">
        <x:f>IF(OR(M301="",N301=""),"",M301*N301)</x:f>
      </x:c>
      <x:c r="Q301" s="17"/>
      <x:c r="R301" s="17" t="str">
        <x:f>IF(OR(M301="",Q301="",Q301="未结算"),"",SWITCH(Q301,"赢",M301*N301,"输",0,"走水",M301,"取消",M301,"半赢",M301*(1+(N301-1)/2),"半输",M301*0.5,""))</x:f>
      </x:c>
      <x:c r="S301" s="17" t="str">
        <x:f>IF(R301="","",R301-M301)</x:f>
      </x:c>
      <x:c r="T301" s="19" t="str">
        <x:f>IF(OR(M301="",S301=""),"",S301/M301)</x:f>
      </x:c>
      <x:c r="U301" s="17" t="str">
        <x:f>IF(S301="","",'参数'!$B$3+SUM($S$3:S301))</x:f>
      </x:c>
      <x:c r="V301" s="15"/>
      <x:c r="W301" s="15"/>
      <x:c r="X301" s="15"/>
    </x:row>
    <x:row r="302" ht="25.5" customHeight="1">
      <x:c r="A302" s="15" t="str">
        <x:f>IF(D302="","",ROW()-2)</x:f>
      </x:c>
      <x:c r="B302" s="16"/>
      <x:c r="C302" s="15"/>
      <x:c r="D302" s="15"/>
      <x:c r="E302" s="16"/>
      <x:c r="F302" s="15"/>
      <x:c r="G302" s="15"/>
      <x:c r="H302" s="15"/>
      <x:c r="I302" s="15"/>
      <x:c r="J302" s="15"/>
      <x:c r="K302" s="15"/>
      <x:c r="L302" s="17" t="str">
        <x:f>IF(M302="","",'参数'!$B$3+IF(ROW()=3,0,SUM($S$3:INDEX($S:$S,ROW()-1))))</x:f>
      </x:c>
      <x:c r="M302" s="17"/>
      <x:c r="N302" s="18"/>
      <x:c r="O302" s="19" t="str">
        <x:f>IF(OR(M302="",L302=""),"",M302/L302)</x:f>
      </x:c>
      <x:c r="P302" s="17" t="str">
        <x:f>IF(OR(M302="",N302=""),"",M302*N302)</x:f>
      </x:c>
      <x:c r="Q302" s="17"/>
      <x:c r="R302" s="17" t="str">
        <x:f>IF(OR(M302="",Q302="",Q302="未结算"),"",SWITCH(Q302,"赢",M302*N302,"输",0,"走水",M302,"取消",M302,"半赢",M302*(1+(N302-1)/2),"半输",M302*0.5,""))</x:f>
      </x:c>
      <x:c r="S302" s="17" t="str">
        <x:f>IF(R302="","",R302-M302)</x:f>
      </x:c>
      <x:c r="T302" s="19" t="str">
        <x:f>IF(OR(M302="",S302=""),"",S302/M302)</x:f>
      </x:c>
      <x:c r="U302" s="17" t="str">
        <x:f>IF(S302="","",'参数'!$B$3+SUM($S$3:S302))</x:f>
      </x:c>
      <x:c r="V302" s="15"/>
      <x:c r="W302" s="15"/>
      <x:c r="X302" s="15"/>
    </x:row>
  </x:sheetData>
  <x:mergeCells>
    <x:mergeCell ref="A1:X1"/>
  </x:mergeCells>
  <x:conditionalFormatting sqref="S3:S302">
    <x:cfRule type="cellIs" dxfId="0" priority="1" operator="greaterThan">
      <x:formula>0</x:formula>
    </x:cfRule>
    <x:cfRule type="cellIs" dxfId="1" priority="2" operator="lessThan">
      <x:formula>0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1.110000610351562" hidden="0" customWidth="1"/>
    <x:col min="2" max="2" width="8.890000343322754" hidden="0" customWidth="1"/>
    <x:col min="3" max="3" width="8.890000343322754" hidden="0" customWidth="1"/>
    <x:col min="4" max="4" width="8.890000343322754" hidden="0" customWidth="1"/>
    <x:col min="5" max="5" width="11.109999656677246" hidden="0" customWidth="1"/>
    <x:col min="6" max="6" width="11.109999656677246" hidden="0" customWidth="1"/>
    <x:col min="7" max="7" width="8.890000343322754" hidden="0" customWidth="1"/>
    <x:col min="8" max="8" width="26.670000076293945" hidden="0" customWidth="1"/>
  </x:cols>
  <x:sheetData>
    <x:row r="1" ht="30" customHeight="1">
      <x:c r="A1" s="3" t="str">
        <x:v>策略统计</x:v>
      </x:c>
      <x:c r="B1" s="3" t="str">
        <x:v>策略统计</x:v>
      </x:c>
      <x:c r="C1" s="3" t="str">
        <x:v>策略统计</x:v>
      </x:c>
      <x:c r="D1" s="3" t="str">
        <x:v>策略统计</x:v>
      </x:c>
      <x:c r="E1" s="3" t="str">
        <x:v>策略统计</x:v>
      </x:c>
      <x:c r="F1" s="3" t="str">
        <x:v>策略统计</x:v>
      </x:c>
      <x:c r="G1" s="3" t="str">
        <x:v>策略统计</x:v>
      </x:c>
      <x:c r="H1" s="3" t="str">
        <x:v>策略统计</x:v>
      </x:c>
    </x:row>
    <x:row r="3" ht="25.5" customHeight="1">
      <x:c r="A3" s="12" t="str">
        <x:v>策略标签</x:v>
      </x:c>
      <x:c r="B3" s="12" t="str">
        <x:v>投注数</x:v>
      </x:c>
      <x:c r="C3" s="12" t="str">
        <x:v>已结算</x:v>
      </x:c>
      <x:c r="D3" s="12" t="str">
        <x:v>胜单</x:v>
      </x:c>
      <x:c r="E3" s="12" t="str">
        <x:v>总投注</x:v>
      </x:c>
      <x:c r="F3" s="12" t="str">
        <x:v>总收益</x:v>
      </x:c>
      <x:c r="G3" s="12" t="str">
        <x:v>ROI</x:v>
      </x:c>
      <x:c r="H3" s="12" t="str">
        <x:v>备注</x:v>
      </x:c>
    </x:row>
    <x:row r="4">
      <x:c r="A4" s="14" t="str">
        <x:v>S01-稳健主仓</x:v>
      </x:c>
      <x:c r="B4" s="14" t="n">
        <x:f>COUNTIF('投注明细'!$K$3:$K$302,A4)</x:f>
        <x:v>0</x:v>
      </x:c>
      <x:c r="C4" s="14" t="n">
        <x:f>COUNTIFS('投注明细'!$K$3:$K$302,A4,'投注明细'!$Q$3:$Q$302,"&lt;&gt;未结算",'投注明细'!$Q$3:$Q$302,"&lt;&gt;")</x:f>
        <x:v>0</x:v>
      </x:c>
      <x:c r="D4" s="14" t="n">
        <x:f>COUNTIFS('投注明细'!$K$3:$K$302,A4,'投注明细'!$Q$3:$Q$302,"赢")</x:f>
        <x:v>0</x:v>
      </x:c>
      <x:c r="E4" s="20" t="n">
        <x:f>SUMIF('投注明细'!$K$3:$K$302,A4,'投注明细'!$M$3:$M$302)</x:f>
        <x:v>0</x:v>
      </x:c>
      <x:c r="F4" s="20" t="n">
        <x:f>SUMIF('投注明细'!$K$3:$K$302,A4,'投注明细'!$S$3:$S$302)</x:f>
        <x:v>0</x:v>
      </x:c>
      <x:c r="G4" s="21" t="str">
        <x:f>IF(E4=0,"",F4/E4)</x:f>
      </x:c>
      <x:c r="H4" s="14"/>
    </x:row>
    <x:row r="5">
      <x:c r="A5" s="14" t="str">
        <x:v>S02-反热门受让小球</x:v>
      </x:c>
      <x:c r="B5" s="14" t="n">
        <x:f>COUNTIF('投注明细'!$K$3:$K$302,A5)</x:f>
        <x:v>0</x:v>
      </x:c>
      <x:c r="C5" s="14" t="n">
        <x:f>COUNTIFS('投注明细'!$K$3:$K$302,A5,'投注明细'!$Q$3:$Q$302,"&lt;&gt;未结算",'投注明细'!$Q$3:$Q$302,"&lt;&gt;")</x:f>
        <x:v>0</x:v>
      </x:c>
      <x:c r="D5" s="14" t="n">
        <x:f>COUNTIFS('投注明细'!$K$3:$K$302,A5,'投注明细'!$Q$3:$Q$302,"赢")</x:f>
        <x:v>0</x:v>
      </x:c>
      <x:c r="E5" s="20" t="n">
        <x:f>SUMIF('投注明细'!$K$3:$K$302,A5,'投注明细'!$M$3:$M$302)</x:f>
        <x:v>0</x:v>
      </x:c>
      <x:c r="F5" s="20" t="n">
        <x:f>SUMIF('投注明细'!$K$3:$K$302,A5,'投注明细'!$S$3:$S$302)</x:f>
        <x:v>0</x:v>
      </x:c>
      <x:c r="G5" s="21" t="str">
        <x:f>IF(E5=0,"",F5/E5)</x:f>
      </x:c>
      <x:c r="H5" s="14"/>
    </x:row>
    <x:row r="6">
      <x:c r="A6" s="14" t="str">
        <x:v>S03-滚球纠偏</x:v>
      </x:c>
      <x:c r="B6" s="14" t="n">
        <x:f>COUNTIF('投注明细'!$K$3:$K$302,A6)</x:f>
        <x:v>0</x:v>
      </x:c>
      <x:c r="C6" s="14" t="n">
        <x:f>COUNTIFS('投注明细'!$K$3:$K$302,A6,'投注明细'!$Q$3:$Q$302,"&lt;&gt;未结算",'投注明细'!$Q$3:$Q$302,"&lt;&gt;")</x:f>
        <x:v>0</x:v>
      </x:c>
      <x:c r="D6" s="14" t="n">
        <x:f>COUNTIFS('投注明细'!$K$3:$K$302,A6,'投注明细'!$Q$3:$Q$302,"赢")</x:f>
        <x:v>0</x:v>
      </x:c>
      <x:c r="E6" s="20" t="n">
        <x:f>SUMIF('投注明细'!$K$3:$K$302,A6,'投注明细'!$M$3:$M$302)</x:f>
        <x:v>0</x:v>
      </x:c>
      <x:c r="F6" s="20" t="n">
        <x:f>SUMIF('投注明细'!$K$3:$K$302,A6,'投注明细'!$S$3:$S$302)</x:f>
        <x:v>0</x:v>
      </x:c>
      <x:c r="G6" s="21" t="str">
        <x:f>IF(E6=0,"",F6/E6)</x:f>
      </x:c>
      <x:c r="H6" s="14"/>
    </x:row>
    <x:row r="7">
      <x:c r="A7" s="14" t="str">
        <x:v>S04-小仓高赔</x:v>
      </x:c>
      <x:c r="B7" s="14" t="n">
        <x:f>COUNTIF('投注明细'!$K$3:$K$302,A7)</x:f>
        <x:v>0</x:v>
      </x:c>
      <x:c r="C7" s="14" t="n">
        <x:f>COUNTIFS('投注明细'!$K$3:$K$302,A7,'投注明细'!$Q$3:$Q$302,"&lt;&gt;未结算",'投注明细'!$Q$3:$Q$302,"&lt;&gt;")</x:f>
        <x:v>0</x:v>
      </x:c>
      <x:c r="D7" s="14" t="n">
        <x:f>COUNTIFS('投注明细'!$K$3:$K$302,A7,'投注明细'!$Q$3:$Q$302,"赢")</x:f>
        <x:v>0</x:v>
      </x:c>
      <x:c r="E7" s="20" t="n">
        <x:f>SUMIF('投注明细'!$K$3:$K$302,A7,'投注明细'!$M$3:$M$302)</x:f>
        <x:v>0</x:v>
      </x:c>
      <x:c r="F7" s="20" t="n">
        <x:f>SUMIF('投注明细'!$K$3:$K$302,A7,'投注明细'!$S$3:$S$302)</x:f>
        <x:v>0</x:v>
      </x:c>
      <x:c r="G7" s="21" t="str">
        <x:f>IF(E7=0,"",F7/E7)</x:f>
      </x:c>
      <x:c r="H7" s="14"/>
    </x:row>
    <x:row r="8">
      <x:c r="A8" s="14" t="str">
        <x:v>纪律问题-追单</x:v>
      </x:c>
      <x:c r="B8" s="14" t="n">
        <x:f>COUNTIF('投注明细'!$K$3:$K$302,A8)</x:f>
        <x:v>0</x:v>
      </x:c>
      <x:c r="C8" s="14" t="n">
        <x:f>COUNTIFS('投注明细'!$K$3:$K$302,A8,'投注明细'!$Q$3:$Q$302,"&lt;&gt;未结算",'投注明细'!$Q$3:$Q$302,"&lt;&gt;")</x:f>
        <x:v>0</x:v>
      </x:c>
      <x:c r="D8" s="14" t="n">
        <x:f>COUNTIFS('投注明细'!$K$3:$K$302,A8,'投注明细'!$Q$3:$Q$302,"赢")</x:f>
        <x:v>0</x:v>
      </x:c>
      <x:c r="E8" s="20" t="n">
        <x:f>SUMIF('投注明细'!$K$3:$K$302,A8,'投注明细'!$M$3:$M$302)</x:f>
        <x:v>0</x:v>
      </x:c>
      <x:c r="F8" s="20" t="n">
        <x:f>SUMIF('投注明细'!$K$3:$K$302,A8,'投注明细'!$S$3:$S$302)</x:f>
        <x:v>0</x:v>
      </x:c>
      <x:c r="G8" s="21" t="str">
        <x:f>IF(E8=0,"",F8/E8)</x:f>
      </x:c>
      <x:c r="H8" s="14"/>
    </x:row>
    <x:row r="9">
      <x:c r="A9" s="14" t="str">
        <x:v>未知策略</x:v>
      </x:c>
      <x:c r="B9" s="14" t="n">
        <x:f>COUNTIF('投注明细'!$K$3:$K$302,A9)</x:f>
        <x:v>0</x:v>
      </x:c>
      <x:c r="C9" s="14" t="n">
        <x:f>COUNTIFS('投注明细'!$K$3:$K$302,A9,'投注明细'!$Q$3:$Q$302,"&lt;&gt;未结算",'投注明细'!$Q$3:$Q$302,"&lt;&gt;")</x:f>
        <x:v>0</x:v>
      </x:c>
      <x:c r="D9" s="14" t="n">
        <x:f>COUNTIFS('投注明细'!$K$3:$K$302,A9,'投注明细'!$Q$3:$Q$302,"赢")</x:f>
        <x:v>0</x:v>
      </x:c>
      <x:c r="E9" s="20" t="n">
        <x:f>SUMIF('投注明细'!$K$3:$K$302,A9,'投注明细'!$M$3:$M$302)</x:f>
        <x:v>0</x:v>
      </x:c>
      <x:c r="F9" s="20" t="n">
        <x:f>SUMIF('投注明细'!$K$3:$K$302,A9,'投注明细'!$S$3:$S$302)</x:f>
        <x:v>0</x:v>
      </x:c>
      <x:c r="G9" s="21" t="str">
        <x:f>IF(E9=0,"",F9/E9)</x:f>
      </x:c>
      <x:c r="H9" s="14"/>
    </x:row>
  </x:sheetData>
  <x:mergeCells>
    <x:mergeCell ref="A1:H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6.670000076293945" hidden="0" customWidth="1"/>
    <x:col min="2" max="2" width="8.890000343322754" hidden="0" customWidth="1"/>
    <x:col min="3" max="3" width="46.66999816894531" hidden="0" customWidth="1"/>
    <x:col min="4" max="4" width="28.889999389648438" hidden="0" customWidth="1"/>
  </x:cols>
  <x:sheetData>
    <x:row r="1" ht="30" customHeight="1">
      <x:c r="A1" s="3" t="str">
        <x:v>字段说明</x:v>
      </x:c>
      <x:c r="B1" s="3" t="str">
        <x:v>字段说明</x:v>
      </x:c>
      <x:c r="C1" s="3" t="str">
        <x:v>字段说明</x:v>
      </x:c>
      <x:c r="D1" s="3" t="str">
        <x:v>字段说明</x:v>
      </x:c>
    </x:row>
    <x:row r="3" ht="25.5" customHeight="1">
      <x:c r="A3" s="12" t="str">
        <x:v>字段</x:v>
      </x:c>
      <x:c r="B3" s="12" t="str">
        <x:v>是否必填</x:v>
      </x:c>
      <x:c r="C3" s="12" t="str">
        <x:v>说明</x:v>
      </x:c>
      <x:c r="D3" s="12" t="str">
        <x:v>示例</x:v>
      </x:c>
    </x:row>
    <x:row r="4">
      <x:c r="A4" s="15" t="str">
        <x:v>推荐ID</x:v>
      </x:c>
      <x:c r="B4" s="15" t="str">
        <x:v>可选</x:v>
      </x:c>
      <x:c r="C4" s="15" t="str">
        <x:v>来自推荐表的 id，方便推荐与实际下注串联。</x:v>
      </x:c>
      <x:c r="D4" s="15" t="str">
        <x:v>12</x:v>
      </x:c>
    </x:row>
    <x:row r="5">
      <x:c r="A5" s="15" t="str">
        <x:v>投注类型</x:v>
      </x:c>
      <x:c r="B5" s="15" t="str">
        <x:v>必填</x:v>
      </x:c>
      <x:c r="C5" s="15" t="str">
        <x:v>赛前、滚球或串关。</x:v>
      </x:c>
      <x:c r="D5" s="15" t="str">
        <x:v>赛前</x:v>
      </x:c>
    </x:row>
    <x:row r="6">
      <x:c r="A6" s="15" t="str">
        <x:v>策略标签</x:v>
      </x:c>
      <x:c r="B6" s="15" t="str">
        <x:v>建议</x:v>
      </x:c>
      <x:c r="C6" s="15" t="str">
        <x:v>来自推荐 skill 的策略标签。</x:v>
      </x:c>
      <x:c r="D6" s="15" t="str">
        <x:v>S03-滚球纠偏</x:v>
      </x:c>
    </x:row>
    <x:row r="7">
      <x:c r="A7" s="15" t="str">
        <x:v>投注结果</x:v>
      </x:c>
      <x:c r="B7" s="15" t="str">
        <x:v>必填</x:v>
      </x:c>
      <x:c r="C7" s="15" t="str">
        <x:v>未结算、赢、输、走水、半赢、半输、取消。</x:v>
      </x:c>
      <x:c r="D7" s="15" t="str">
        <x:v>赢</x:v>
      </x:c>
    </x:row>
  </x:sheetData>
  <x:mergeCells>
    <x:mergeCell ref="A1:D1"/>
  </x:mergeCells>
  <x:pageMargins left="0.7" right="0.7" top="0.75" bottom="0.75" header="0.3" footer="0.3"/>
</x:worksheet>
</file>